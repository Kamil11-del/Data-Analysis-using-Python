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ata Analytic Course\Phase 01\Week 01\"/>
    </mc:Choice>
  </mc:AlternateContent>
  <xr:revisionPtr revIDLastSave="0" documentId="13_ncr:1_{0B0E1B8E-4555-4992-BB6B-F00FAB97699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gional Sales Data" sheetId="1" r:id="rId1"/>
    <sheet name="TechMart Q1 Sales" sheetId="2" r:id="rId2"/>
    <sheet name="Practice Ques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6" i="3"/>
  <c r="C5" i="3"/>
  <c r="C3" i="3"/>
  <c r="C2" i="3"/>
  <c r="C4" i="3"/>
</calcChain>
</file>

<file path=xl/sharedStrings.xml><?xml version="1.0" encoding="utf-8"?>
<sst xmlns="http://schemas.openxmlformats.org/spreadsheetml/2006/main" count="1677" uniqueCount="371">
  <si>
    <t>Order_ID</t>
  </si>
  <si>
    <t>Product</t>
  </si>
  <si>
    <t>Category</t>
  </si>
  <si>
    <t>Region</t>
  </si>
  <si>
    <t>Amount</t>
  </si>
  <si>
    <t>Customer_Type</t>
  </si>
  <si>
    <t>Month</t>
  </si>
  <si>
    <t>ORD1001</t>
  </si>
  <si>
    <t>Bookshelf</t>
  </si>
  <si>
    <t>Furniture</t>
  </si>
  <si>
    <t>North</t>
  </si>
  <si>
    <t>VIP</t>
  </si>
  <si>
    <t>January</t>
  </si>
  <si>
    <t>ORD1002</t>
  </si>
  <si>
    <t>Printer</t>
  </si>
  <si>
    <t>Electronics</t>
  </si>
  <si>
    <t>South</t>
  </si>
  <si>
    <t>February</t>
  </si>
  <si>
    <t>ORD1003</t>
  </si>
  <si>
    <t>ORD1004</t>
  </si>
  <si>
    <t>Keyboard</t>
  </si>
  <si>
    <t>ORD1005</t>
  </si>
  <si>
    <t>East</t>
  </si>
  <si>
    <t>ORD1006</t>
  </si>
  <si>
    <t>Lamp</t>
  </si>
  <si>
    <t>Regular</t>
  </si>
  <si>
    <t>ORD1007</t>
  </si>
  <si>
    <t>Tablet</t>
  </si>
  <si>
    <t>March</t>
  </si>
  <si>
    <t>ORD1008</t>
  </si>
  <si>
    <t>ORD1009</t>
  </si>
  <si>
    <t>Mouse</t>
  </si>
  <si>
    <t>ORD1010</t>
  </si>
  <si>
    <t>West</t>
  </si>
  <si>
    <t>ORD1011</t>
  </si>
  <si>
    <t>Laptop</t>
  </si>
  <si>
    <t>ORD1012</t>
  </si>
  <si>
    <t>ORD1013</t>
  </si>
  <si>
    <t>ORD1014</t>
  </si>
  <si>
    <t>ORD1015</t>
  </si>
  <si>
    <t>ORD1016</t>
  </si>
  <si>
    <t>ORD1017</t>
  </si>
  <si>
    <t>Monitor</t>
  </si>
  <si>
    <t>ORD1018</t>
  </si>
  <si>
    <t>ORD1019</t>
  </si>
  <si>
    <t>ORD1020</t>
  </si>
  <si>
    <t>Chair</t>
  </si>
  <si>
    <t>ORD1021</t>
  </si>
  <si>
    <t>ORD1022</t>
  </si>
  <si>
    <t>ORD1023</t>
  </si>
  <si>
    <t>ORD1024</t>
  </si>
  <si>
    <t>ORD1025</t>
  </si>
  <si>
    <t>ORD1026</t>
  </si>
  <si>
    <t>Desk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</si>
  <si>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</si>
  <si>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</si>
  <si>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</si>
  <si>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</si>
  <si>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</si>
  <si>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</si>
  <si>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</si>
  <si>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</si>
  <si>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</si>
  <si>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</si>
  <si>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</si>
  <si>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</si>
  <si>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</si>
  <si>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</si>
  <si>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</si>
  <si>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</si>
  <si>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</si>
  <si>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</si>
  <si>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</si>
  <si>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</si>
  <si>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</si>
  <si>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</si>
  <si>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</si>
  <si>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</si>
  <si>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</si>
  <si>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</si>
  <si>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</si>
  <si>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</si>
  <si>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</si>
  <si>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</si>
  <si>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</si>
  <si>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</si>
  <si>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</si>
  <si>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</si>
  <si>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</si>
  <si>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</si>
  <si>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</si>
  <si>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</si>
  <si>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</si>
  <si>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</si>
  <si>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</si>
  <si>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</si>
  <si>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</si>
  <si>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</si>
  <si>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</si>
  <si>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</si>
  <si>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</si>
  <si>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</si>
  <si>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</si>
  <si>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</si>
  <si>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</si>
  <si>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</si>
  <si>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</si>
  <si>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</si>
  <si>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</si>
  <si>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</si>
  <si>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</si>
  <si>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</si>
  <si>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</si>
  <si>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</si>
  <si>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</si>
  <si>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</si>
  <si>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</si>
  <si>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</si>
  <si>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</si>
  <si>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</si>
  <si>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</si>
  <si>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</si>
  <si>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</si>
  <si>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</si>
  <si>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</si>
  <si>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</si>
  <si>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</si>
  <si>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</si>
  <si>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Transaction_ID</t>
  </si>
  <si>
    <t>Date</t>
  </si>
  <si>
    <t>Salesperson</t>
  </si>
  <si>
    <t>TX2001</t>
  </si>
  <si>
    <t>2024-01-14</t>
  </si>
  <si>
    <t>Alice</t>
  </si>
  <si>
    <t>TX2002</t>
  </si>
  <si>
    <t>2024-02-08</t>
  </si>
  <si>
    <t>Diana</t>
  </si>
  <si>
    <t>TX2003</t>
  </si>
  <si>
    <t>2024-03-14</t>
  </si>
  <si>
    <t>Bob</t>
  </si>
  <si>
    <t>TX2004</t>
  </si>
  <si>
    <t>2024-01-25</t>
  </si>
  <si>
    <t>TX2005</t>
  </si>
  <si>
    <t>2024-03-22</t>
  </si>
  <si>
    <t>TX2006</t>
  </si>
  <si>
    <t>2024-02-16</t>
  </si>
  <si>
    <t>TX2007</t>
  </si>
  <si>
    <t>2024-03-08</t>
  </si>
  <si>
    <t>TX2008</t>
  </si>
  <si>
    <t>2024-01-07</t>
  </si>
  <si>
    <t>TX2009</t>
  </si>
  <si>
    <t>2024-03-15</t>
  </si>
  <si>
    <t>TX2010</t>
  </si>
  <si>
    <t>2024-03-04</t>
  </si>
  <si>
    <t>TX2011</t>
  </si>
  <si>
    <t>Charlie</t>
  </si>
  <si>
    <t>TX2012</t>
  </si>
  <si>
    <t>2024-02-03</t>
  </si>
  <si>
    <t>TX2013</t>
  </si>
  <si>
    <t>2024-02-23</t>
  </si>
  <si>
    <t>TX2014</t>
  </si>
  <si>
    <t>2024-01-29</t>
  </si>
  <si>
    <t>TX2015</t>
  </si>
  <si>
    <t>2024-01-18</t>
  </si>
  <si>
    <t>Eve</t>
  </si>
  <si>
    <t>TX2016</t>
  </si>
  <si>
    <t>2024-02-27</t>
  </si>
  <si>
    <t>TX2017</t>
  </si>
  <si>
    <t>2024-01-01</t>
  </si>
  <si>
    <t>TX2018</t>
  </si>
  <si>
    <t>TX2019</t>
  </si>
  <si>
    <t>2024-02-11</t>
  </si>
  <si>
    <t>TX2020</t>
  </si>
  <si>
    <t>2024-03-23</t>
  </si>
  <si>
    <t>TX2021</t>
  </si>
  <si>
    <t>2024-02-06</t>
  </si>
  <si>
    <t>TX2022</t>
  </si>
  <si>
    <t>2024-03-30</t>
  </si>
  <si>
    <t>TX2023</t>
  </si>
  <si>
    <t>2024-02-02</t>
  </si>
  <si>
    <t>TX2024</t>
  </si>
  <si>
    <t>2024-03-03</t>
  </si>
  <si>
    <t>TX2025</t>
  </si>
  <si>
    <t>2024-03-07</t>
  </si>
  <si>
    <t>TX2026</t>
  </si>
  <si>
    <t>2024-03-27</t>
  </si>
  <si>
    <t>TX2027</t>
  </si>
  <si>
    <t>2024-03-12</t>
  </si>
  <si>
    <t>TX2028</t>
  </si>
  <si>
    <t>2024-02-29</t>
  </si>
  <si>
    <t>TX2029</t>
  </si>
  <si>
    <t>2024-02-07</t>
  </si>
  <si>
    <t>TX2030</t>
  </si>
  <si>
    <t>2024-03-18</t>
  </si>
  <si>
    <t>TX2031</t>
  </si>
  <si>
    <t>2024-02-28</t>
  </si>
  <si>
    <t>TX2032</t>
  </si>
  <si>
    <t>2024-03-13</t>
  </si>
  <si>
    <t>TX2033</t>
  </si>
  <si>
    <t>2024-02-13</t>
  </si>
  <si>
    <t>TX2034</t>
  </si>
  <si>
    <t>2024-03-21</t>
  </si>
  <si>
    <t>TX2035</t>
  </si>
  <si>
    <t>TX2036</t>
  </si>
  <si>
    <t>TX2037</t>
  </si>
  <si>
    <t>TX2038</t>
  </si>
  <si>
    <t>TX2039</t>
  </si>
  <si>
    <t>2024-01-04</t>
  </si>
  <si>
    <t>TX2040</t>
  </si>
  <si>
    <t>2024-01-11</t>
  </si>
  <si>
    <t>TX2041</t>
  </si>
  <si>
    <t>TX2042</t>
  </si>
  <si>
    <t>2024-01-12</t>
  </si>
  <si>
    <t>TX2043</t>
  </si>
  <si>
    <t>2024-02-19</t>
  </si>
  <si>
    <t>TX2044</t>
  </si>
  <si>
    <t>2024-03-01</t>
  </si>
  <si>
    <t>TX2045</t>
  </si>
  <si>
    <t>2024-01-06</t>
  </si>
  <si>
    <t>TX2046</t>
  </si>
  <si>
    <t>TX2047</t>
  </si>
  <si>
    <t>2024-03-16</t>
  </si>
  <si>
    <t>TX2048</t>
  </si>
  <si>
    <t>2024-02-26</t>
  </si>
  <si>
    <t>TX2049</t>
  </si>
  <si>
    <t>2024-03-25</t>
  </si>
  <si>
    <t>TX2050</t>
  </si>
  <si>
    <t>TX2051</t>
  </si>
  <si>
    <t>2024-02-04</t>
  </si>
  <si>
    <t>TX2052</t>
  </si>
  <si>
    <t>2024-03-17</t>
  </si>
  <si>
    <t>TX2053</t>
  </si>
  <si>
    <t>2024-01-13</t>
  </si>
  <si>
    <t>TX2054</t>
  </si>
  <si>
    <t>2024-01-24</t>
  </si>
  <si>
    <t>TX2055</t>
  </si>
  <si>
    <t>TX2056</t>
  </si>
  <si>
    <t>TX2057</t>
  </si>
  <si>
    <t>TX2058</t>
  </si>
  <si>
    <t>TX2059</t>
  </si>
  <si>
    <t>TX2060</t>
  </si>
  <si>
    <t>2024-03-10</t>
  </si>
  <si>
    <t>TX2061</t>
  </si>
  <si>
    <t>2024-03-06</t>
  </si>
  <si>
    <t>TX2062</t>
  </si>
  <si>
    <t>TX2063</t>
  </si>
  <si>
    <t>TX2064</t>
  </si>
  <si>
    <t>2024-02-09</t>
  </si>
  <si>
    <t>TX2065</t>
  </si>
  <si>
    <t>TX2066</t>
  </si>
  <si>
    <t>2024-02-20</t>
  </si>
  <si>
    <t>TX2067</t>
  </si>
  <si>
    <t>TX2068</t>
  </si>
  <si>
    <t>2024-01-10</t>
  </si>
  <si>
    <t>TX2069</t>
  </si>
  <si>
    <t>2024-01-30</t>
  </si>
  <si>
    <t>TX2070</t>
  </si>
  <si>
    <t>TX2071</t>
  </si>
  <si>
    <t>TX2072</t>
  </si>
  <si>
    <t>TX2073</t>
  </si>
  <si>
    <t>2024-02-05</t>
  </si>
  <si>
    <t>TX2074</t>
  </si>
  <si>
    <t>2024-03-26</t>
  </si>
  <si>
    <t>TX2075</t>
  </si>
  <si>
    <t>TX2076</t>
  </si>
  <si>
    <t>2024-03-19</t>
  </si>
  <si>
    <t>TX2077</t>
  </si>
  <si>
    <t>TX2078</t>
  </si>
  <si>
    <t>TX2079</t>
  </si>
  <si>
    <t>2024-01-27</t>
  </si>
  <si>
    <t>TX2080</t>
  </si>
  <si>
    <t>TX2081</t>
  </si>
  <si>
    <t>2024-01-23</t>
  </si>
  <si>
    <t>TX2082</t>
  </si>
  <si>
    <t>TX2083</t>
  </si>
  <si>
    <t>TX2084</t>
  </si>
  <si>
    <t>2024-01-31</t>
  </si>
  <si>
    <t>TX2085</t>
  </si>
  <si>
    <t>TX2086</t>
  </si>
  <si>
    <t>TX2087</t>
  </si>
  <si>
    <t>TX2088</t>
  </si>
  <si>
    <t>TX2089</t>
  </si>
  <si>
    <t>TX2090</t>
  </si>
  <si>
    <t>TX2091</t>
  </si>
  <si>
    <t>TX2092</t>
  </si>
  <si>
    <t>TX2093</t>
  </si>
  <si>
    <t>TX2094</t>
  </si>
  <si>
    <t>TX2095</t>
  </si>
  <si>
    <t>TX2096</t>
  </si>
  <si>
    <t>2024-01-28</t>
  </si>
  <si>
    <t>TX2097</t>
  </si>
  <si>
    <t>2024-01-02</t>
  </si>
  <si>
    <t>TX2098</t>
  </si>
  <si>
    <t>TX2099</t>
  </si>
  <si>
    <t>TX2100</t>
  </si>
  <si>
    <t>TX2101</t>
  </si>
  <si>
    <t>TX2102</t>
  </si>
  <si>
    <t>2024-01-03</t>
  </si>
  <si>
    <t>TX2103</t>
  </si>
  <si>
    <t>TX2104</t>
  </si>
  <si>
    <t>2024-01-15</t>
  </si>
  <si>
    <t>TX2105</t>
  </si>
  <si>
    <t>TX2106</t>
  </si>
  <si>
    <t>TX2107</t>
  </si>
  <si>
    <t>2024-03-20</t>
  </si>
  <si>
    <t>TX2108</t>
  </si>
  <si>
    <t>2024-01-08</t>
  </si>
  <si>
    <t>TX2109</t>
  </si>
  <si>
    <t>TX2110</t>
  </si>
  <si>
    <t>TX2111</t>
  </si>
  <si>
    <t>2024-02-10</t>
  </si>
  <si>
    <t>TX2112</t>
  </si>
  <si>
    <t>TX2113</t>
  </si>
  <si>
    <t>2024-01-09</t>
  </si>
  <si>
    <t>TX2114</t>
  </si>
  <si>
    <t>TX2115</t>
  </si>
  <si>
    <t>2024-02-18</t>
  </si>
  <si>
    <t>TX2116</t>
  </si>
  <si>
    <t>TX2117</t>
  </si>
  <si>
    <t>TX2118</t>
  </si>
  <si>
    <t>TX2119</t>
  </si>
  <si>
    <t>TX2120</t>
  </si>
  <si>
    <t>TX2121</t>
  </si>
  <si>
    <t>2024-02-24</t>
  </si>
  <si>
    <t>TX2122</t>
  </si>
  <si>
    <t>TX2123</t>
  </si>
  <si>
    <t>2024-01-05</t>
  </si>
  <si>
    <t>TX2124</t>
  </si>
  <si>
    <t>TX2125</t>
  </si>
  <si>
    <t>2024-02-15</t>
  </si>
  <si>
    <t>TX2126</t>
  </si>
  <si>
    <t>TX2127</t>
  </si>
  <si>
    <t>2024-01-16</t>
  </si>
  <si>
    <t>TX2128</t>
  </si>
  <si>
    <t>TX2129</t>
  </si>
  <si>
    <t>TX2130</t>
  </si>
  <si>
    <t>2024-02-01</t>
  </si>
  <si>
    <t>TX2131</t>
  </si>
  <si>
    <t>TX2132</t>
  </si>
  <si>
    <t>TX2133</t>
  </si>
  <si>
    <t>TX2134</t>
  </si>
  <si>
    <t>TX2135</t>
  </si>
  <si>
    <t>TX2136</t>
  </si>
  <si>
    <t>TX2137</t>
  </si>
  <si>
    <t>TX2138</t>
  </si>
  <si>
    <t>TX2139</t>
  </si>
  <si>
    <t>TX2140</t>
  </si>
  <si>
    <t>2024-02-14</t>
  </si>
  <si>
    <t>TX2141</t>
  </si>
  <si>
    <t>TX2142</t>
  </si>
  <si>
    <t>TX2143</t>
  </si>
  <si>
    <t>TX2144</t>
  </si>
  <si>
    <t>TX2145</t>
  </si>
  <si>
    <t>TX2146</t>
  </si>
  <si>
    <t>TX2147</t>
  </si>
  <si>
    <t>TX2148</t>
  </si>
  <si>
    <t>TX2149</t>
  </si>
  <si>
    <t>2024-01-17</t>
  </si>
  <si>
    <t>TX2150</t>
  </si>
  <si>
    <t>Question #</t>
  </si>
  <si>
    <t>Question</t>
  </si>
  <si>
    <t>Formula</t>
  </si>
  <si>
    <t>Your Answer</t>
  </si>
  <si>
    <t>How many Electronics were sold in total?</t>
  </si>
  <si>
    <t>How many sales were made in the North region?</t>
  </si>
  <si>
    <t>How many Electronics were sold in the South region?</t>
  </si>
  <si>
    <t>What is the total revenue from Furniture sales?</t>
  </si>
  <si>
    <t>What is the total revenue from VIP customers in the West?</t>
  </si>
  <si>
    <t>What is the average sale amount for Electronics?</t>
  </si>
  <si>
    <t>What is the average sale for Regular customers in the East?</t>
  </si>
  <si>
    <t>How many sales above $1000 were made by VIP customers?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</si>
</sst>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B84CE9-5E7E-4380-8CE2-B98C53AC1185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opLeftCell="A26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972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>
        <v>1034</v>
      </c>
      <c r="F3" t="s">
        <v>11</v>
      </c>
      <c r="G3" t="s">
        <v>17</v>
      </c>
    </row>
    <row r="4" spans="1:7" x14ac:dyDescent="0.35">
      <c r="A4" t="s">
        <v>18</v>
      </c>
      <c r="B4" t="s">
        <v>14</v>
      </c>
      <c r="C4" t="s">
        <v>15</v>
      </c>
      <c r="D4" t="s">
        <v>16</v>
      </c>
      <c r="E4">
        <v>1580</v>
      </c>
      <c r="F4" t="s">
        <v>11</v>
      </c>
      <c r="G4" t="s">
        <v>17</v>
      </c>
    </row>
    <row r="5" spans="1:7" x14ac:dyDescent="0.35">
      <c r="A5" t="s">
        <v>19</v>
      </c>
      <c r="B5" t="s">
        <v>20</v>
      </c>
      <c r="C5" t="s">
        <v>15</v>
      </c>
      <c r="D5" t="s">
        <v>10</v>
      </c>
      <c r="E5">
        <v>1134</v>
      </c>
      <c r="F5" t="s">
        <v>11</v>
      </c>
      <c r="G5" t="s">
        <v>17</v>
      </c>
    </row>
    <row r="6" spans="1:7" x14ac:dyDescent="0.35">
      <c r="A6" t="s">
        <v>21</v>
      </c>
      <c r="B6" t="s">
        <v>14</v>
      </c>
      <c r="C6" t="s">
        <v>15</v>
      </c>
      <c r="D6" t="s">
        <v>22</v>
      </c>
      <c r="E6">
        <v>1674</v>
      </c>
      <c r="F6" t="s">
        <v>11</v>
      </c>
      <c r="G6" t="s">
        <v>17</v>
      </c>
    </row>
    <row r="7" spans="1:7" x14ac:dyDescent="0.35">
      <c r="A7" t="s">
        <v>23</v>
      </c>
      <c r="B7" t="s">
        <v>24</v>
      </c>
      <c r="C7" t="s">
        <v>9</v>
      </c>
      <c r="D7" t="s">
        <v>10</v>
      </c>
      <c r="E7">
        <v>911</v>
      </c>
      <c r="F7" t="s">
        <v>25</v>
      </c>
      <c r="G7" t="s">
        <v>17</v>
      </c>
    </row>
    <row r="8" spans="1:7" x14ac:dyDescent="0.35">
      <c r="A8" t="s">
        <v>26</v>
      </c>
      <c r="B8" t="s">
        <v>27</v>
      </c>
      <c r="C8" t="s">
        <v>15</v>
      </c>
      <c r="D8" t="s">
        <v>22</v>
      </c>
      <c r="E8">
        <v>1470</v>
      </c>
      <c r="F8" t="s">
        <v>25</v>
      </c>
      <c r="G8" t="s">
        <v>28</v>
      </c>
    </row>
    <row r="9" spans="1:7" x14ac:dyDescent="0.35">
      <c r="A9" t="s">
        <v>29</v>
      </c>
      <c r="B9" t="s">
        <v>20</v>
      </c>
      <c r="C9" t="s">
        <v>15</v>
      </c>
      <c r="D9" t="s">
        <v>22</v>
      </c>
      <c r="E9">
        <v>1808</v>
      </c>
      <c r="F9" t="s">
        <v>25</v>
      </c>
      <c r="G9" t="s">
        <v>17</v>
      </c>
    </row>
    <row r="10" spans="1:7" x14ac:dyDescent="0.35">
      <c r="A10" t="s">
        <v>30</v>
      </c>
      <c r="B10" t="s">
        <v>31</v>
      </c>
      <c r="C10" t="s">
        <v>15</v>
      </c>
      <c r="D10" t="s">
        <v>16</v>
      </c>
      <c r="E10">
        <v>253</v>
      </c>
      <c r="F10" t="s">
        <v>11</v>
      </c>
      <c r="G10" t="s">
        <v>28</v>
      </c>
    </row>
    <row r="11" spans="1:7" x14ac:dyDescent="0.35">
      <c r="A11" t="s">
        <v>32</v>
      </c>
      <c r="B11" t="s">
        <v>31</v>
      </c>
      <c r="C11" t="s">
        <v>15</v>
      </c>
      <c r="D11" t="s">
        <v>33</v>
      </c>
      <c r="E11">
        <v>303</v>
      </c>
      <c r="F11" t="s">
        <v>11</v>
      </c>
      <c r="G11" t="s">
        <v>28</v>
      </c>
    </row>
    <row r="12" spans="1:7" x14ac:dyDescent="0.35">
      <c r="A12" t="s">
        <v>34</v>
      </c>
      <c r="B12" t="s">
        <v>35</v>
      </c>
      <c r="C12" t="s">
        <v>15</v>
      </c>
      <c r="D12" t="s">
        <v>22</v>
      </c>
      <c r="E12">
        <v>1386</v>
      </c>
      <c r="F12" t="s">
        <v>25</v>
      </c>
      <c r="G12" t="s">
        <v>28</v>
      </c>
    </row>
    <row r="13" spans="1:7" x14ac:dyDescent="0.35">
      <c r="A13" t="s">
        <v>36</v>
      </c>
      <c r="B13" t="s">
        <v>24</v>
      </c>
      <c r="C13" t="s">
        <v>9</v>
      </c>
      <c r="D13" t="s">
        <v>10</v>
      </c>
      <c r="E13">
        <v>793</v>
      </c>
      <c r="F13" t="s">
        <v>25</v>
      </c>
      <c r="G13" t="s">
        <v>12</v>
      </c>
    </row>
    <row r="14" spans="1:7" x14ac:dyDescent="0.35">
      <c r="A14" t="s">
        <v>37</v>
      </c>
      <c r="B14" t="s">
        <v>20</v>
      </c>
      <c r="C14" t="s">
        <v>15</v>
      </c>
      <c r="D14" t="s">
        <v>10</v>
      </c>
      <c r="E14">
        <v>1299</v>
      </c>
      <c r="F14" t="s">
        <v>25</v>
      </c>
      <c r="G14" t="s">
        <v>17</v>
      </c>
    </row>
    <row r="15" spans="1:7" x14ac:dyDescent="0.35">
      <c r="A15" t="s">
        <v>38</v>
      </c>
      <c r="B15" t="s">
        <v>35</v>
      </c>
      <c r="C15" t="s">
        <v>15</v>
      </c>
      <c r="D15" t="s">
        <v>33</v>
      </c>
      <c r="E15">
        <v>219</v>
      </c>
      <c r="F15" t="s">
        <v>25</v>
      </c>
      <c r="G15" t="s">
        <v>28</v>
      </c>
    </row>
    <row r="16" spans="1:7" x14ac:dyDescent="0.35">
      <c r="A16" t="s">
        <v>39</v>
      </c>
      <c r="B16" t="s">
        <v>35</v>
      </c>
      <c r="C16" t="s">
        <v>15</v>
      </c>
      <c r="D16" t="s">
        <v>10</v>
      </c>
      <c r="E16">
        <v>1242</v>
      </c>
      <c r="F16" t="s">
        <v>11</v>
      </c>
      <c r="G16" t="s">
        <v>17</v>
      </c>
    </row>
    <row r="17" spans="1:7" x14ac:dyDescent="0.35">
      <c r="A17" t="s">
        <v>40</v>
      </c>
      <c r="B17" t="s">
        <v>31</v>
      </c>
      <c r="C17" t="s">
        <v>15</v>
      </c>
      <c r="D17" t="s">
        <v>22</v>
      </c>
      <c r="E17">
        <v>1214</v>
      </c>
      <c r="F17" t="s">
        <v>25</v>
      </c>
      <c r="G17" t="s">
        <v>12</v>
      </c>
    </row>
    <row r="18" spans="1:7" x14ac:dyDescent="0.35">
      <c r="A18" t="s">
        <v>41</v>
      </c>
      <c r="B18" t="s">
        <v>42</v>
      </c>
      <c r="C18" t="s">
        <v>15</v>
      </c>
      <c r="D18" t="s">
        <v>10</v>
      </c>
      <c r="E18">
        <v>1266</v>
      </c>
      <c r="F18" t="s">
        <v>25</v>
      </c>
      <c r="G18" t="s">
        <v>28</v>
      </c>
    </row>
    <row r="19" spans="1:7" x14ac:dyDescent="0.35">
      <c r="A19" t="s">
        <v>43</v>
      </c>
      <c r="B19" t="s">
        <v>31</v>
      </c>
      <c r="C19" t="s">
        <v>15</v>
      </c>
      <c r="D19" t="s">
        <v>33</v>
      </c>
      <c r="E19">
        <v>1777</v>
      </c>
      <c r="F19" t="s">
        <v>11</v>
      </c>
      <c r="G19" t="s">
        <v>17</v>
      </c>
    </row>
    <row r="20" spans="1:7" x14ac:dyDescent="0.35">
      <c r="A20" t="s">
        <v>44</v>
      </c>
      <c r="B20" t="s">
        <v>14</v>
      </c>
      <c r="C20" t="s">
        <v>15</v>
      </c>
      <c r="D20" t="s">
        <v>22</v>
      </c>
      <c r="E20">
        <v>1252</v>
      </c>
      <c r="F20" t="s">
        <v>11</v>
      </c>
      <c r="G20" t="s">
        <v>17</v>
      </c>
    </row>
    <row r="21" spans="1:7" x14ac:dyDescent="0.35">
      <c r="A21" t="s">
        <v>45</v>
      </c>
      <c r="B21" t="s">
        <v>46</v>
      </c>
      <c r="C21" t="s">
        <v>9</v>
      </c>
      <c r="D21" t="s">
        <v>22</v>
      </c>
      <c r="E21">
        <v>1695</v>
      </c>
      <c r="F21" t="s">
        <v>25</v>
      </c>
      <c r="G21" t="s">
        <v>17</v>
      </c>
    </row>
    <row r="22" spans="1:7" x14ac:dyDescent="0.35">
      <c r="A22" t="s">
        <v>47</v>
      </c>
      <c r="B22" t="s">
        <v>46</v>
      </c>
      <c r="C22" t="s">
        <v>9</v>
      </c>
      <c r="D22" t="s">
        <v>10</v>
      </c>
      <c r="E22">
        <v>1582</v>
      </c>
      <c r="F22" t="s">
        <v>11</v>
      </c>
      <c r="G22" t="s">
        <v>28</v>
      </c>
    </row>
    <row r="23" spans="1:7" x14ac:dyDescent="0.35">
      <c r="A23" t="s">
        <v>48</v>
      </c>
      <c r="B23" t="s">
        <v>20</v>
      </c>
      <c r="C23" t="s">
        <v>15</v>
      </c>
      <c r="D23" t="s">
        <v>33</v>
      </c>
      <c r="E23">
        <v>1395</v>
      </c>
      <c r="F23" t="s">
        <v>11</v>
      </c>
      <c r="G23" t="s">
        <v>17</v>
      </c>
    </row>
    <row r="24" spans="1:7" x14ac:dyDescent="0.35">
      <c r="A24" t="s">
        <v>49</v>
      </c>
      <c r="B24" t="s">
        <v>24</v>
      </c>
      <c r="C24" t="s">
        <v>9</v>
      </c>
      <c r="D24" t="s">
        <v>10</v>
      </c>
      <c r="E24">
        <v>1149</v>
      </c>
      <c r="F24" t="s">
        <v>11</v>
      </c>
      <c r="G24" t="s">
        <v>17</v>
      </c>
    </row>
    <row r="25" spans="1:7" x14ac:dyDescent="0.35">
      <c r="A25" t="s">
        <v>50</v>
      </c>
      <c r="B25" t="s">
        <v>31</v>
      </c>
      <c r="C25" t="s">
        <v>15</v>
      </c>
      <c r="D25" t="s">
        <v>16</v>
      </c>
      <c r="E25">
        <v>1495</v>
      </c>
      <c r="F25" t="s">
        <v>11</v>
      </c>
      <c r="G25" t="s">
        <v>12</v>
      </c>
    </row>
    <row r="26" spans="1:7" x14ac:dyDescent="0.35">
      <c r="A26" t="s">
        <v>51</v>
      </c>
      <c r="B26" t="s">
        <v>14</v>
      </c>
      <c r="C26" t="s">
        <v>15</v>
      </c>
      <c r="D26" t="s">
        <v>33</v>
      </c>
      <c r="E26">
        <v>1258</v>
      </c>
      <c r="F26" t="s">
        <v>11</v>
      </c>
      <c r="G26" t="s">
        <v>28</v>
      </c>
    </row>
    <row r="27" spans="1:7" x14ac:dyDescent="0.35">
      <c r="A27" t="s">
        <v>52</v>
      </c>
      <c r="B27" t="s">
        <v>53</v>
      </c>
      <c r="C27" t="s">
        <v>9</v>
      </c>
      <c r="D27" t="s">
        <v>22</v>
      </c>
      <c r="E27">
        <v>219</v>
      </c>
      <c r="F27" t="s">
        <v>25</v>
      </c>
      <c r="G27" t="s">
        <v>28</v>
      </c>
    </row>
    <row r="28" spans="1:7" x14ac:dyDescent="0.35">
      <c r="A28" t="s">
        <v>54</v>
      </c>
      <c r="B28" t="s">
        <v>42</v>
      </c>
      <c r="C28" t="s">
        <v>15</v>
      </c>
      <c r="D28" t="s">
        <v>22</v>
      </c>
      <c r="E28">
        <v>1191</v>
      </c>
      <c r="F28" t="s">
        <v>25</v>
      </c>
      <c r="G28" t="s">
        <v>12</v>
      </c>
    </row>
    <row r="29" spans="1:7" x14ac:dyDescent="0.35">
      <c r="A29" t="s">
        <v>55</v>
      </c>
      <c r="B29" t="s">
        <v>35</v>
      </c>
      <c r="C29" t="s">
        <v>15</v>
      </c>
      <c r="D29" t="s">
        <v>10</v>
      </c>
      <c r="E29">
        <v>800</v>
      </c>
      <c r="F29" t="s">
        <v>11</v>
      </c>
      <c r="G29" t="s">
        <v>12</v>
      </c>
    </row>
    <row r="30" spans="1:7" x14ac:dyDescent="0.35">
      <c r="A30" t="s">
        <v>56</v>
      </c>
      <c r="B30" t="s">
        <v>53</v>
      </c>
      <c r="C30" t="s">
        <v>9</v>
      </c>
      <c r="D30" t="s">
        <v>16</v>
      </c>
      <c r="E30">
        <v>868</v>
      </c>
      <c r="F30" t="s">
        <v>11</v>
      </c>
      <c r="G30" t="s">
        <v>17</v>
      </c>
    </row>
    <row r="31" spans="1:7" x14ac:dyDescent="0.35">
      <c r="A31" t="s">
        <v>57</v>
      </c>
      <c r="B31" t="s">
        <v>35</v>
      </c>
      <c r="C31" t="s">
        <v>15</v>
      </c>
      <c r="D31" t="s">
        <v>22</v>
      </c>
      <c r="E31">
        <v>210</v>
      </c>
      <c r="F31" t="s">
        <v>11</v>
      </c>
      <c r="G31" t="s">
        <v>28</v>
      </c>
    </row>
    <row r="32" spans="1:7" x14ac:dyDescent="0.35">
      <c r="A32" t="s">
        <v>58</v>
      </c>
      <c r="B32" t="s">
        <v>31</v>
      </c>
      <c r="C32" t="s">
        <v>15</v>
      </c>
      <c r="D32" t="s">
        <v>16</v>
      </c>
      <c r="E32">
        <v>1007</v>
      </c>
      <c r="F32" t="s">
        <v>25</v>
      </c>
      <c r="G32" t="s">
        <v>17</v>
      </c>
    </row>
    <row r="33" spans="1:7" x14ac:dyDescent="0.35">
      <c r="A33" t="s">
        <v>59</v>
      </c>
      <c r="B33" t="s">
        <v>46</v>
      </c>
      <c r="C33" t="s">
        <v>9</v>
      </c>
      <c r="D33" t="s">
        <v>22</v>
      </c>
      <c r="E33">
        <v>494</v>
      </c>
      <c r="F33" t="s">
        <v>25</v>
      </c>
      <c r="G33" t="s">
        <v>12</v>
      </c>
    </row>
    <row r="34" spans="1:7" x14ac:dyDescent="0.35">
      <c r="A34" t="s">
        <v>60</v>
      </c>
      <c r="B34" t="s">
        <v>35</v>
      </c>
      <c r="C34" t="s">
        <v>15</v>
      </c>
      <c r="D34" t="s">
        <v>16</v>
      </c>
      <c r="E34">
        <v>248</v>
      </c>
      <c r="F34" t="s">
        <v>25</v>
      </c>
      <c r="G34" t="s">
        <v>28</v>
      </c>
    </row>
    <row r="35" spans="1:7" x14ac:dyDescent="0.35">
      <c r="A35" t="s">
        <v>61</v>
      </c>
      <c r="B35" t="s">
        <v>31</v>
      </c>
      <c r="C35" t="s">
        <v>15</v>
      </c>
      <c r="D35" t="s">
        <v>16</v>
      </c>
      <c r="E35">
        <v>1688</v>
      </c>
      <c r="F35" t="s">
        <v>11</v>
      </c>
      <c r="G35" t="s">
        <v>28</v>
      </c>
    </row>
    <row r="36" spans="1:7" x14ac:dyDescent="0.35">
      <c r="A36" t="s">
        <v>62</v>
      </c>
      <c r="B36" t="s">
        <v>24</v>
      </c>
      <c r="C36" t="s">
        <v>9</v>
      </c>
      <c r="D36" t="s">
        <v>33</v>
      </c>
      <c r="E36">
        <v>1623</v>
      </c>
      <c r="F36" t="s">
        <v>11</v>
      </c>
      <c r="G36" t="s">
        <v>17</v>
      </c>
    </row>
    <row r="37" spans="1:7" x14ac:dyDescent="0.35">
      <c r="A37" t="s">
        <v>63</v>
      </c>
      <c r="B37" t="s">
        <v>35</v>
      </c>
      <c r="C37" t="s">
        <v>15</v>
      </c>
      <c r="D37" t="s">
        <v>22</v>
      </c>
      <c r="E37">
        <v>357</v>
      </c>
      <c r="F37" t="s">
        <v>11</v>
      </c>
      <c r="G37" t="s">
        <v>28</v>
      </c>
    </row>
    <row r="38" spans="1:7" x14ac:dyDescent="0.35">
      <c r="A38" t="s">
        <v>64</v>
      </c>
      <c r="B38" t="s">
        <v>20</v>
      </c>
      <c r="C38" t="s">
        <v>15</v>
      </c>
      <c r="D38" t="s">
        <v>10</v>
      </c>
      <c r="E38">
        <v>299</v>
      </c>
      <c r="F38" t="s">
        <v>11</v>
      </c>
      <c r="G38" t="s">
        <v>12</v>
      </c>
    </row>
    <row r="39" spans="1:7" x14ac:dyDescent="0.35">
      <c r="A39" t="s">
        <v>65</v>
      </c>
      <c r="B39" t="s">
        <v>46</v>
      </c>
      <c r="C39" t="s">
        <v>9</v>
      </c>
      <c r="D39" t="s">
        <v>10</v>
      </c>
      <c r="E39">
        <v>1409</v>
      </c>
      <c r="F39" t="s">
        <v>11</v>
      </c>
      <c r="G39" t="s">
        <v>17</v>
      </c>
    </row>
    <row r="40" spans="1:7" x14ac:dyDescent="0.35">
      <c r="A40" t="s">
        <v>66</v>
      </c>
      <c r="B40" t="s">
        <v>31</v>
      </c>
      <c r="C40" t="s">
        <v>15</v>
      </c>
      <c r="D40" t="s">
        <v>10</v>
      </c>
      <c r="E40">
        <v>269</v>
      </c>
      <c r="F40" t="s">
        <v>11</v>
      </c>
      <c r="G40" t="s">
        <v>17</v>
      </c>
    </row>
    <row r="41" spans="1:7" x14ac:dyDescent="0.35">
      <c r="A41" t="s">
        <v>67</v>
      </c>
      <c r="B41" t="s">
        <v>42</v>
      </c>
      <c r="C41" t="s">
        <v>15</v>
      </c>
      <c r="D41" t="s">
        <v>16</v>
      </c>
      <c r="E41">
        <v>1331</v>
      </c>
      <c r="F41" t="s">
        <v>11</v>
      </c>
      <c r="G41" t="s">
        <v>12</v>
      </c>
    </row>
    <row r="42" spans="1:7" x14ac:dyDescent="0.35">
      <c r="A42" t="s">
        <v>68</v>
      </c>
      <c r="B42" t="s">
        <v>42</v>
      </c>
      <c r="C42" t="s">
        <v>15</v>
      </c>
      <c r="D42" t="s">
        <v>16</v>
      </c>
      <c r="E42">
        <v>1840</v>
      </c>
      <c r="F42" t="s">
        <v>25</v>
      </c>
      <c r="G42" t="s">
        <v>12</v>
      </c>
    </row>
    <row r="43" spans="1:7" x14ac:dyDescent="0.35">
      <c r="A43" t="s">
        <v>69</v>
      </c>
      <c r="B43" t="s">
        <v>31</v>
      </c>
      <c r="C43" t="s">
        <v>15</v>
      </c>
      <c r="D43" t="s">
        <v>33</v>
      </c>
      <c r="E43">
        <v>448</v>
      </c>
      <c r="F43" t="s">
        <v>11</v>
      </c>
      <c r="G43" t="s">
        <v>17</v>
      </c>
    </row>
    <row r="44" spans="1:7" x14ac:dyDescent="0.35">
      <c r="A44" t="s">
        <v>70</v>
      </c>
      <c r="B44" t="s">
        <v>53</v>
      </c>
      <c r="C44" t="s">
        <v>9</v>
      </c>
      <c r="D44" t="s">
        <v>33</v>
      </c>
      <c r="E44">
        <v>1801</v>
      </c>
      <c r="F44" t="s">
        <v>11</v>
      </c>
      <c r="G44" t="s">
        <v>12</v>
      </c>
    </row>
    <row r="45" spans="1:7" x14ac:dyDescent="0.35">
      <c r="A45" t="s">
        <v>71</v>
      </c>
      <c r="B45" t="s">
        <v>14</v>
      </c>
      <c r="C45" t="s">
        <v>15</v>
      </c>
      <c r="D45" t="s">
        <v>22</v>
      </c>
      <c r="E45">
        <v>1660</v>
      </c>
      <c r="F45" t="s">
        <v>25</v>
      </c>
      <c r="G45" t="s">
        <v>17</v>
      </c>
    </row>
    <row r="46" spans="1:7" x14ac:dyDescent="0.35">
      <c r="A46" t="s">
        <v>72</v>
      </c>
      <c r="B46" t="s">
        <v>20</v>
      </c>
      <c r="C46" t="s">
        <v>15</v>
      </c>
      <c r="D46" t="s">
        <v>16</v>
      </c>
      <c r="E46">
        <v>1678</v>
      </c>
      <c r="F46" t="s">
        <v>11</v>
      </c>
      <c r="G46" t="s">
        <v>17</v>
      </c>
    </row>
    <row r="47" spans="1:7" x14ac:dyDescent="0.35">
      <c r="A47" t="s">
        <v>73</v>
      </c>
      <c r="B47" t="s">
        <v>27</v>
      </c>
      <c r="C47" t="s">
        <v>15</v>
      </c>
      <c r="D47" t="s">
        <v>33</v>
      </c>
      <c r="E47">
        <v>1306</v>
      </c>
      <c r="F47" t="s">
        <v>25</v>
      </c>
      <c r="G47" t="s">
        <v>17</v>
      </c>
    </row>
    <row r="48" spans="1:7" x14ac:dyDescent="0.35">
      <c r="A48" t="s">
        <v>74</v>
      </c>
      <c r="B48" t="s">
        <v>27</v>
      </c>
      <c r="C48" t="s">
        <v>15</v>
      </c>
      <c r="D48" t="s">
        <v>16</v>
      </c>
      <c r="E48">
        <v>151</v>
      </c>
      <c r="F48" t="s">
        <v>11</v>
      </c>
      <c r="G48" t="s">
        <v>28</v>
      </c>
    </row>
    <row r="49" spans="1:7" x14ac:dyDescent="0.35">
      <c r="A49" t="s">
        <v>75</v>
      </c>
      <c r="B49" t="s">
        <v>20</v>
      </c>
      <c r="C49" t="s">
        <v>15</v>
      </c>
      <c r="D49" t="s">
        <v>22</v>
      </c>
      <c r="E49">
        <v>649</v>
      </c>
      <c r="F49" t="s">
        <v>11</v>
      </c>
      <c r="G49" t="s">
        <v>28</v>
      </c>
    </row>
    <row r="50" spans="1:7" x14ac:dyDescent="0.35">
      <c r="A50" t="s">
        <v>76</v>
      </c>
      <c r="B50" t="s">
        <v>31</v>
      </c>
      <c r="C50" t="s">
        <v>15</v>
      </c>
      <c r="D50" t="s">
        <v>33</v>
      </c>
      <c r="E50">
        <v>1022</v>
      </c>
      <c r="F50" t="s">
        <v>11</v>
      </c>
      <c r="G50" t="s">
        <v>12</v>
      </c>
    </row>
    <row r="51" spans="1:7" x14ac:dyDescent="0.35">
      <c r="A51" t="s">
        <v>77</v>
      </c>
      <c r="B51" t="s">
        <v>53</v>
      </c>
      <c r="C51" t="s">
        <v>9</v>
      </c>
      <c r="D51" t="s">
        <v>10</v>
      </c>
      <c r="E51">
        <v>1232</v>
      </c>
      <c r="F51" t="s">
        <v>11</v>
      </c>
      <c r="G51" t="s">
        <v>28</v>
      </c>
    </row>
    <row r="52" spans="1:7" x14ac:dyDescent="0.35">
      <c r="A52" t="s">
        <v>78</v>
      </c>
      <c r="B52" t="s">
        <v>46</v>
      </c>
      <c r="C52" t="s">
        <v>9</v>
      </c>
      <c r="D52" t="s">
        <v>22</v>
      </c>
      <c r="E52">
        <v>855</v>
      </c>
      <c r="F52" t="s">
        <v>25</v>
      </c>
      <c r="G52" t="s">
        <v>28</v>
      </c>
    </row>
    <row r="53" spans="1:7" x14ac:dyDescent="0.35">
      <c r="A53" t="s">
        <v>79</v>
      </c>
      <c r="B53" t="s">
        <v>14</v>
      </c>
      <c r="C53" t="s">
        <v>15</v>
      </c>
      <c r="D53" t="s">
        <v>10</v>
      </c>
      <c r="E53">
        <v>1037</v>
      </c>
      <c r="F53" t="s">
        <v>11</v>
      </c>
      <c r="G53" t="s">
        <v>28</v>
      </c>
    </row>
    <row r="54" spans="1:7" x14ac:dyDescent="0.35">
      <c r="A54" t="s">
        <v>80</v>
      </c>
      <c r="B54" t="s">
        <v>8</v>
      </c>
      <c r="C54" t="s">
        <v>9</v>
      </c>
      <c r="D54" t="s">
        <v>33</v>
      </c>
      <c r="E54">
        <v>231</v>
      </c>
      <c r="F54" t="s">
        <v>11</v>
      </c>
      <c r="G54" t="s">
        <v>12</v>
      </c>
    </row>
    <row r="55" spans="1:7" x14ac:dyDescent="0.35">
      <c r="A55" t="s">
        <v>81</v>
      </c>
      <c r="B55" t="s">
        <v>14</v>
      </c>
      <c r="C55" t="s">
        <v>15</v>
      </c>
      <c r="D55" t="s">
        <v>33</v>
      </c>
      <c r="E55">
        <v>1536</v>
      </c>
      <c r="F55" t="s">
        <v>25</v>
      </c>
      <c r="G55" t="s">
        <v>12</v>
      </c>
    </row>
    <row r="56" spans="1:7" x14ac:dyDescent="0.35">
      <c r="A56" t="s">
        <v>82</v>
      </c>
      <c r="B56" t="s">
        <v>8</v>
      </c>
      <c r="C56" t="s">
        <v>9</v>
      </c>
      <c r="D56" t="s">
        <v>10</v>
      </c>
      <c r="E56">
        <v>158</v>
      </c>
      <c r="F56" t="s">
        <v>11</v>
      </c>
      <c r="G56" t="s">
        <v>17</v>
      </c>
    </row>
    <row r="57" spans="1:7" x14ac:dyDescent="0.35">
      <c r="A57" t="s">
        <v>83</v>
      </c>
      <c r="B57" t="s">
        <v>35</v>
      </c>
      <c r="C57" t="s">
        <v>15</v>
      </c>
      <c r="D57" t="s">
        <v>33</v>
      </c>
      <c r="E57">
        <v>1141</v>
      </c>
      <c r="F57" t="s">
        <v>25</v>
      </c>
      <c r="G57" t="s">
        <v>17</v>
      </c>
    </row>
    <row r="58" spans="1:7" x14ac:dyDescent="0.35">
      <c r="A58" t="s">
        <v>84</v>
      </c>
      <c r="B58" t="s">
        <v>53</v>
      </c>
      <c r="C58" t="s">
        <v>9</v>
      </c>
      <c r="D58" t="s">
        <v>10</v>
      </c>
      <c r="E58">
        <v>974</v>
      </c>
      <c r="F58" t="s">
        <v>25</v>
      </c>
      <c r="G58" t="s">
        <v>12</v>
      </c>
    </row>
    <row r="59" spans="1:7" x14ac:dyDescent="0.35">
      <c r="A59" t="s">
        <v>85</v>
      </c>
      <c r="B59" t="s">
        <v>24</v>
      </c>
      <c r="C59" t="s">
        <v>9</v>
      </c>
      <c r="D59" t="s">
        <v>10</v>
      </c>
      <c r="E59">
        <v>958</v>
      </c>
      <c r="F59" t="s">
        <v>25</v>
      </c>
      <c r="G59" t="s">
        <v>17</v>
      </c>
    </row>
    <row r="60" spans="1:7" x14ac:dyDescent="0.35">
      <c r="A60" t="s">
        <v>86</v>
      </c>
      <c r="B60" t="s">
        <v>8</v>
      </c>
      <c r="C60" t="s">
        <v>9</v>
      </c>
      <c r="D60" t="s">
        <v>16</v>
      </c>
      <c r="E60">
        <v>715</v>
      </c>
      <c r="F60" t="s">
        <v>11</v>
      </c>
      <c r="G60" t="s">
        <v>17</v>
      </c>
    </row>
    <row r="61" spans="1:7" x14ac:dyDescent="0.35">
      <c r="A61" t="s">
        <v>87</v>
      </c>
      <c r="B61" t="s">
        <v>24</v>
      </c>
      <c r="C61" t="s">
        <v>9</v>
      </c>
      <c r="D61" t="s">
        <v>16</v>
      </c>
      <c r="E61">
        <v>1042</v>
      </c>
      <c r="F61" t="s">
        <v>11</v>
      </c>
      <c r="G61" t="s">
        <v>17</v>
      </c>
    </row>
    <row r="62" spans="1:7" x14ac:dyDescent="0.35">
      <c r="A62" t="s">
        <v>88</v>
      </c>
      <c r="B62" t="s">
        <v>20</v>
      </c>
      <c r="C62" t="s">
        <v>15</v>
      </c>
      <c r="D62" t="s">
        <v>33</v>
      </c>
      <c r="E62">
        <v>1351</v>
      </c>
      <c r="F62" t="s">
        <v>11</v>
      </c>
      <c r="G62" t="s">
        <v>28</v>
      </c>
    </row>
    <row r="63" spans="1:7" x14ac:dyDescent="0.35">
      <c r="A63" t="s">
        <v>89</v>
      </c>
      <c r="B63" t="s">
        <v>20</v>
      </c>
      <c r="C63" t="s">
        <v>15</v>
      </c>
      <c r="D63" t="s">
        <v>16</v>
      </c>
      <c r="E63">
        <v>863</v>
      </c>
      <c r="F63" t="s">
        <v>25</v>
      </c>
      <c r="G63" t="s">
        <v>17</v>
      </c>
    </row>
    <row r="64" spans="1:7" x14ac:dyDescent="0.35">
      <c r="A64" t="s">
        <v>90</v>
      </c>
      <c r="B64" t="s">
        <v>46</v>
      </c>
      <c r="C64" t="s">
        <v>9</v>
      </c>
      <c r="D64" t="s">
        <v>16</v>
      </c>
      <c r="E64">
        <v>1780</v>
      </c>
      <c r="F64" t="s">
        <v>25</v>
      </c>
      <c r="G64" t="s">
        <v>17</v>
      </c>
    </row>
    <row r="65" spans="1:7" x14ac:dyDescent="0.35">
      <c r="A65" t="s">
        <v>91</v>
      </c>
      <c r="B65" t="s">
        <v>27</v>
      </c>
      <c r="C65" t="s">
        <v>15</v>
      </c>
      <c r="D65" t="s">
        <v>22</v>
      </c>
      <c r="E65">
        <v>1076</v>
      </c>
      <c r="F65" t="s">
        <v>25</v>
      </c>
      <c r="G65" t="s">
        <v>28</v>
      </c>
    </row>
    <row r="66" spans="1:7" x14ac:dyDescent="0.35">
      <c r="A66" t="s">
        <v>92</v>
      </c>
      <c r="B66" t="s">
        <v>46</v>
      </c>
      <c r="C66" t="s">
        <v>9</v>
      </c>
      <c r="D66" t="s">
        <v>33</v>
      </c>
      <c r="E66">
        <v>1329</v>
      </c>
      <c r="F66" t="s">
        <v>25</v>
      </c>
      <c r="G66" t="s">
        <v>12</v>
      </c>
    </row>
    <row r="67" spans="1:7" x14ac:dyDescent="0.35">
      <c r="A67" t="s">
        <v>93</v>
      </c>
      <c r="B67" t="s">
        <v>42</v>
      </c>
      <c r="C67" t="s">
        <v>15</v>
      </c>
      <c r="D67" t="s">
        <v>10</v>
      </c>
      <c r="E67">
        <v>1076</v>
      </c>
      <c r="F67" t="s">
        <v>25</v>
      </c>
      <c r="G67" t="s">
        <v>17</v>
      </c>
    </row>
    <row r="68" spans="1:7" x14ac:dyDescent="0.35">
      <c r="A68" t="s">
        <v>94</v>
      </c>
      <c r="B68" t="s">
        <v>20</v>
      </c>
      <c r="C68" t="s">
        <v>15</v>
      </c>
      <c r="D68" t="s">
        <v>33</v>
      </c>
      <c r="E68">
        <v>831</v>
      </c>
      <c r="F68" t="s">
        <v>11</v>
      </c>
      <c r="G68" t="s">
        <v>17</v>
      </c>
    </row>
    <row r="69" spans="1:7" x14ac:dyDescent="0.35">
      <c r="A69" t="s">
        <v>95</v>
      </c>
      <c r="B69" t="s">
        <v>27</v>
      </c>
      <c r="C69" t="s">
        <v>15</v>
      </c>
      <c r="D69" t="s">
        <v>22</v>
      </c>
      <c r="E69">
        <v>1832</v>
      </c>
      <c r="F69" t="s">
        <v>25</v>
      </c>
      <c r="G69" t="s">
        <v>28</v>
      </c>
    </row>
    <row r="70" spans="1:7" x14ac:dyDescent="0.35">
      <c r="A70" t="s">
        <v>96</v>
      </c>
      <c r="B70" t="s">
        <v>46</v>
      </c>
      <c r="C70" t="s">
        <v>9</v>
      </c>
      <c r="D70" t="s">
        <v>33</v>
      </c>
      <c r="E70">
        <v>1885</v>
      </c>
      <c r="F70" t="s">
        <v>11</v>
      </c>
      <c r="G70" t="s">
        <v>12</v>
      </c>
    </row>
    <row r="71" spans="1:7" x14ac:dyDescent="0.35">
      <c r="A71" t="s">
        <v>97</v>
      </c>
      <c r="B71" t="s">
        <v>14</v>
      </c>
      <c r="C71" t="s">
        <v>15</v>
      </c>
      <c r="D71" t="s">
        <v>16</v>
      </c>
      <c r="E71">
        <v>1756</v>
      </c>
      <c r="F71" t="s">
        <v>11</v>
      </c>
      <c r="G71" t="s">
        <v>28</v>
      </c>
    </row>
    <row r="72" spans="1:7" x14ac:dyDescent="0.35">
      <c r="A72" t="s">
        <v>98</v>
      </c>
      <c r="B72" t="s">
        <v>42</v>
      </c>
      <c r="C72" t="s">
        <v>15</v>
      </c>
      <c r="D72" t="s">
        <v>33</v>
      </c>
      <c r="E72">
        <v>1758</v>
      </c>
      <c r="F72" t="s">
        <v>25</v>
      </c>
      <c r="G72" t="s">
        <v>17</v>
      </c>
    </row>
    <row r="73" spans="1:7" x14ac:dyDescent="0.35">
      <c r="A73" t="s">
        <v>99</v>
      </c>
      <c r="B73" t="s">
        <v>35</v>
      </c>
      <c r="C73" t="s">
        <v>15</v>
      </c>
      <c r="D73" t="s">
        <v>16</v>
      </c>
      <c r="E73">
        <v>1657</v>
      </c>
      <c r="F73" t="s">
        <v>11</v>
      </c>
      <c r="G73" t="s">
        <v>28</v>
      </c>
    </row>
    <row r="74" spans="1:7" x14ac:dyDescent="0.35">
      <c r="A74" t="s">
        <v>100</v>
      </c>
      <c r="B74" t="s">
        <v>31</v>
      </c>
      <c r="C74" t="s">
        <v>15</v>
      </c>
      <c r="D74" t="s">
        <v>16</v>
      </c>
      <c r="E74">
        <v>203</v>
      </c>
      <c r="F74" t="s">
        <v>25</v>
      </c>
      <c r="G74" t="s">
        <v>17</v>
      </c>
    </row>
    <row r="75" spans="1:7" x14ac:dyDescent="0.35">
      <c r="A75" t="s">
        <v>101</v>
      </c>
      <c r="B75" t="s">
        <v>46</v>
      </c>
      <c r="C75" t="s">
        <v>9</v>
      </c>
      <c r="D75" t="s">
        <v>22</v>
      </c>
      <c r="E75">
        <v>1908</v>
      </c>
      <c r="F75" t="s">
        <v>25</v>
      </c>
      <c r="G75" t="s">
        <v>12</v>
      </c>
    </row>
    <row r="76" spans="1:7" x14ac:dyDescent="0.35">
      <c r="A76" t="s">
        <v>102</v>
      </c>
      <c r="B76" t="s">
        <v>42</v>
      </c>
      <c r="C76" t="s">
        <v>15</v>
      </c>
      <c r="D76" t="s">
        <v>33</v>
      </c>
      <c r="E76">
        <v>1359</v>
      </c>
      <c r="F76" t="s">
        <v>25</v>
      </c>
      <c r="G76" t="s">
        <v>28</v>
      </c>
    </row>
    <row r="77" spans="1:7" x14ac:dyDescent="0.35">
      <c r="A77" t="s">
        <v>103</v>
      </c>
      <c r="B77" t="s">
        <v>46</v>
      </c>
      <c r="C77" t="s">
        <v>9</v>
      </c>
      <c r="D77" t="s">
        <v>22</v>
      </c>
      <c r="E77">
        <v>291</v>
      </c>
      <c r="F77" t="s">
        <v>11</v>
      </c>
      <c r="G77" t="s">
        <v>17</v>
      </c>
    </row>
    <row r="78" spans="1:7" x14ac:dyDescent="0.35">
      <c r="A78" t="s">
        <v>104</v>
      </c>
      <c r="B78" t="s">
        <v>27</v>
      </c>
      <c r="C78" t="s">
        <v>15</v>
      </c>
      <c r="D78" t="s">
        <v>16</v>
      </c>
      <c r="E78">
        <v>306</v>
      </c>
      <c r="F78" t="s">
        <v>25</v>
      </c>
      <c r="G78" t="s">
        <v>17</v>
      </c>
    </row>
    <row r="79" spans="1:7" x14ac:dyDescent="0.35">
      <c r="A79" t="s">
        <v>105</v>
      </c>
      <c r="B79" t="s">
        <v>20</v>
      </c>
      <c r="C79" t="s">
        <v>15</v>
      </c>
      <c r="D79" t="s">
        <v>16</v>
      </c>
      <c r="E79">
        <v>960</v>
      </c>
      <c r="F79" t="s">
        <v>11</v>
      </c>
      <c r="G79" t="s">
        <v>28</v>
      </c>
    </row>
    <row r="80" spans="1:7" x14ac:dyDescent="0.35">
      <c r="A80" t="s">
        <v>106</v>
      </c>
      <c r="B80" t="s">
        <v>27</v>
      </c>
      <c r="C80" t="s">
        <v>15</v>
      </c>
      <c r="D80" t="s">
        <v>22</v>
      </c>
      <c r="E80">
        <v>1938</v>
      </c>
      <c r="F80" t="s">
        <v>11</v>
      </c>
      <c r="G80" t="s">
        <v>28</v>
      </c>
    </row>
    <row r="81" spans="1:7" x14ac:dyDescent="0.35">
      <c r="A81" t="s">
        <v>107</v>
      </c>
      <c r="B81" t="s">
        <v>42</v>
      </c>
      <c r="C81" t="s">
        <v>15</v>
      </c>
      <c r="D81" t="s">
        <v>10</v>
      </c>
      <c r="E81">
        <v>730</v>
      </c>
      <c r="F81" t="s">
        <v>11</v>
      </c>
      <c r="G81" t="s">
        <v>28</v>
      </c>
    </row>
    <row r="82" spans="1:7" x14ac:dyDescent="0.35">
      <c r="A82" t="s">
        <v>108</v>
      </c>
      <c r="B82" t="s">
        <v>20</v>
      </c>
      <c r="C82" t="s">
        <v>15</v>
      </c>
      <c r="D82" t="s">
        <v>22</v>
      </c>
      <c r="E82">
        <v>1199</v>
      </c>
      <c r="F82" t="s">
        <v>25</v>
      </c>
      <c r="G82" t="s">
        <v>17</v>
      </c>
    </row>
    <row r="83" spans="1:7" x14ac:dyDescent="0.35">
      <c r="A83" t="s">
        <v>109</v>
      </c>
      <c r="B83" t="s">
        <v>35</v>
      </c>
      <c r="C83" t="s">
        <v>15</v>
      </c>
      <c r="D83" t="s">
        <v>10</v>
      </c>
      <c r="E83">
        <v>1516</v>
      </c>
      <c r="F83" t="s">
        <v>25</v>
      </c>
      <c r="G83" t="s">
        <v>12</v>
      </c>
    </row>
    <row r="84" spans="1:7" x14ac:dyDescent="0.35">
      <c r="A84" t="s">
        <v>110</v>
      </c>
      <c r="B84" t="s">
        <v>46</v>
      </c>
      <c r="C84" t="s">
        <v>9</v>
      </c>
      <c r="D84" t="s">
        <v>10</v>
      </c>
      <c r="E84">
        <v>402</v>
      </c>
      <c r="F84" t="s">
        <v>11</v>
      </c>
      <c r="G84" t="s">
        <v>17</v>
      </c>
    </row>
    <row r="85" spans="1:7" x14ac:dyDescent="0.35">
      <c r="A85" t="s">
        <v>111</v>
      </c>
      <c r="B85" t="s">
        <v>42</v>
      </c>
      <c r="C85" t="s">
        <v>15</v>
      </c>
      <c r="D85" t="s">
        <v>10</v>
      </c>
      <c r="E85">
        <v>1835</v>
      </c>
      <c r="F85" t="s">
        <v>11</v>
      </c>
      <c r="G85" t="s">
        <v>12</v>
      </c>
    </row>
    <row r="86" spans="1:7" x14ac:dyDescent="0.35">
      <c r="A86" t="s">
        <v>112</v>
      </c>
      <c r="B86" t="s">
        <v>46</v>
      </c>
      <c r="C86" t="s">
        <v>9</v>
      </c>
      <c r="D86" t="s">
        <v>16</v>
      </c>
      <c r="E86">
        <v>930</v>
      </c>
      <c r="F86" t="s">
        <v>25</v>
      </c>
      <c r="G86" t="s">
        <v>28</v>
      </c>
    </row>
    <row r="87" spans="1:7" x14ac:dyDescent="0.35">
      <c r="A87" t="s">
        <v>113</v>
      </c>
      <c r="B87" t="s">
        <v>42</v>
      </c>
      <c r="C87" t="s">
        <v>15</v>
      </c>
      <c r="D87" t="s">
        <v>16</v>
      </c>
      <c r="E87">
        <v>216</v>
      </c>
      <c r="F87" t="s">
        <v>25</v>
      </c>
      <c r="G87" t="s">
        <v>12</v>
      </c>
    </row>
    <row r="88" spans="1:7" x14ac:dyDescent="0.35">
      <c r="A88" t="s">
        <v>114</v>
      </c>
      <c r="B88" t="s">
        <v>35</v>
      </c>
      <c r="C88" t="s">
        <v>15</v>
      </c>
      <c r="D88" t="s">
        <v>10</v>
      </c>
      <c r="E88">
        <v>1081</v>
      </c>
      <c r="F88" t="s">
        <v>25</v>
      </c>
      <c r="G88" t="s">
        <v>28</v>
      </c>
    </row>
    <row r="89" spans="1:7" x14ac:dyDescent="0.35">
      <c r="A89" t="s">
        <v>115</v>
      </c>
      <c r="B89" t="s">
        <v>8</v>
      </c>
      <c r="C89" t="s">
        <v>9</v>
      </c>
      <c r="D89" t="s">
        <v>10</v>
      </c>
      <c r="E89">
        <v>468</v>
      </c>
      <c r="F89" t="s">
        <v>11</v>
      </c>
      <c r="G89" t="s">
        <v>28</v>
      </c>
    </row>
    <row r="90" spans="1:7" x14ac:dyDescent="0.35">
      <c r="A90" t="s">
        <v>116</v>
      </c>
      <c r="B90" t="s">
        <v>35</v>
      </c>
      <c r="C90" t="s">
        <v>15</v>
      </c>
      <c r="D90" t="s">
        <v>10</v>
      </c>
      <c r="E90">
        <v>1170</v>
      </c>
      <c r="F90" t="s">
        <v>11</v>
      </c>
      <c r="G90" t="s">
        <v>12</v>
      </c>
    </row>
    <row r="91" spans="1:7" x14ac:dyDescent="0.35">
      <c r="A91" t="s">
        <v>117</v>
      </c>
      <c r="B91" t="s">
        <v>14</v>
      </c>
      <c r="C91" t="s">
        <v>15</v>
      </c>
      <c r="D91" t="s">
        <v>33</v>
      </c>
      <c r="E91">
        <v>920</v>
      </c>
      <c r="F91" t="s">
        <v>11</v>
      </c>
      <c r="G91" t="s">
        <v>17</v>
      </c>
    </row>
    <row r="92" spans="1:7" x14ac:dyDescent="0.35">
      <c r="A92" t="s">
        <v>118</v>
      </c>
      <c r="B92" t="s">
        <v>27</v>
      </c>
      <c r="C92" t="s">
        <v>15</v>
      </c>
      <c r="D92" t="s">
        <v>22</v>
      </c>
      <c r="E92">
        <v>1064</v>
      </c>
      <c r="F92" t="s">
        <v>11</v>
      </c>
      <c r="G92" t="s">
        <v>28</v>
      </c>
    </row>
    <row r="93" spans="1:7" x14ac:dyDescent="0.35">
      <c r="A93" t="s">
        <v>119</v>
      </c>
      <c r="B93" t="s">
        <v>24</v>
      </c>
      <c r="C93" t="s">
        <v>9</v>
      </c>
      <c r="D93" t="s">
        <v>22</v>
      </c>
      <c r="E93">
        <v>1414</v>
      </c>
      <c r="F93" t="s">
        <v>11</v>
      </c>
      <c r="G93" t="s">
        <v>17</v>
      </c>
    </row>
    <row r="94" spans="1:7" x14ac:dyDescent="0.35">
      <c r="A94" t="s">
        <v>120</v>
      </c>
      <c r="B94" t="s">
        <v>24</v>
      </c>
      <c r="C94" t="s">
        <v>9</v>
      </c>
      <c r="D94" t="s">
        <v>16</v>
      </c>
      <c r="E94">
        <v>668</v>
      </c>
      <c r="F94" t="s">
        <v>11</v>
      </c>
      <c r="G94" t="s">
        <v>12</v>
      </c>
    </row>
    <row r="95" spans="1:7" x14ac:dyDescent="0.35">
      <c r="A95" t="s">
        <v>121</v>
      </c>
      <c r="B95" t="s">
        <v>31</v>
      </c>
      <c r="C95" t="s">
        <v>15</v>
      </c>
      <c r="D95" t="s">
        <v>10</v>
      </c>
      <c r="E95">
        <v>1178</v>
      </c>
      <c r="F95" t="s">
        <v>25</v>
      </c>
      <c r="G95" t="s">
        <v>12</v>
      </c>
    </row>
    <row r="96" spans="1:7" x14ac:dyDescent="0.35">
      <c r="A96" t="s">
        <v>122</v>
      </c>
      <c r="B96" t="s">
        <v>14</v>
      </c>
      <c r="C96" t="s">
        <v>15</v>
      </c>
      <c r="D96" t="s">
        <v>33</v>
      </c>
      <c r="E96">
        <v>1299</v>
      </c>
      <c r="F96" t="s">
        <v>25</v>
      </c>
      <c r="G96" t="s">
        <v>17</v>
      </c>
    </row>
    <row r="97" spans="1:7" x14ac:dyDescent="0.35">
      <c r="A97" t="s">
        <v>123</v>
      </c>
      <c r="B97" t="s">
        <v>42</v>
      </c>
      <c r="C97" t="s">
        <v>15</v>
      </c>
      <c r="D97" t="s">
        <v>10</v>
      </c>
      <c r="E97">
        <v>1514</v>
      </c>
      <c r="F97" t="s">
        <v>25</v>
      </c>
      <c r="G97" t="s">
        <v>12</v>
      </c>
    </row>
    <row r="98" spans="1:7" x14ac:dyDescent="0.35">
      <c r="A98" t="s">
        <v>124</v>
      </c>
      <c r="B98" t="s">
        <v>20</v>
      </c>
      <c r="C98" t="s">
        <v>15</v>
      </c>
      <c r="D98" t="s">
        <v>16</v>
      </c>
      <c r="E98">
        <v>267</v>
      </c>
      <c r="F98" t="s">
        <v>11</v>
      </c>
      <c r="G98" t="s">
        <v>28</v>
      </c>
    </row>
    <row r="99" spans="1:7" x14ac:dyDescent="0.35">
      <c r="A99" t="s">
        <v>125</v>
      </c>
      <c r="B99" t="s">
        <v>24</v>
      </c>
      <c r="C99" t="s">
        <v>9</v>
      </c>
      <c r="D99" t="s">
        <v>10</v>
      </c>
      <c r="E99">
        <v>1444</v>
      </c>
      <c r="F99" t="s">
        <v>25</v>
      </c>
      <c r="G99" t="s">
        <v>28</v>
      </c>
    </row>
    <row r="100" spans="1:7" x14ac:dyDescent="0.35">
      <c r="A100" t="s">
        <v>126</v>
      </c>
      <c r="B100" t="s">
        <v>24</v>
      </c>
      <c r="C100" t="s">
        <v>9</v>
      </c>
      <c r="D100" t="s">
        <v>10</v>
      </c>
      <c r="E100">
        <v>394</v>
      </c>
      <c r="F100" t="s">
        <v>11</v>
      </c>
      <c r="G100" t="s">
        <v>12</v>
      </c>
    </row>
    <row r="101" spans="1:7" x14ac:dyDescent="0.35">
      <c r="A101" t="s">
        <v>127</v>
      </c>
      <c r="B101" t="s">
        <v>35</v>
      </c>
      <c r="C101" t="s">
        <v>15</v>
      </c>
      <c r="D101" t="s">
        <v>33</v>
      </c>
      <c r="E101">
        <v>1911</v>
      </c>
      <c r="F101" t="s">
        <v>11</v>
      </c>
      <c r="G1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1"/>
  <sheetViews>
    <sheetView topLeftCell="A141" workbookViewId="0"/>
  </sheetViews>
  <sheetFormatPr defaultRowHeight="14.5" x14ac:dyDescent="0.35"/>
  <sheetData>
    <row r="1" spans="1:8" x14ac:dyDescent="0.35">
      <c r="A1" t="s">
        <v>128</v>
      </c>
      <c r="B1" t="s">
        <v>129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130</v>
      </c>
    </row>
    <row r="2" spans="1:8" x14ac:dyDescent="0.35">
      <c r="A2" t="s">
        <v>131</v>
      </c>
      <c r="B2" t="s">
        <v>132</v>
      </c>
      <c r="C2" t="s">
        <v>46</v>
      </c>
      <c r="D2" t="s">
        <v>9</v>
      </c>
      <c r="E2" t="s">
        <v>22</v>
      </c>
      <c r="F2">
        <v>299</v>
      </c>
      <c r="G2" t="s">
        <v>25</v>
      </c>
      <c r="H2" t="s">
        <v>133</v>
      </c>
    </row>
    <row r="3" spans="1:8" x14ac:dyDescent="0.35">
      <c r="A3" t="s">
        <v>134</v>
      </c>
      <c r="B3" t="s">
        <v>135</v>
      </c>
      <c r="C3" t="s">
        <v>31</v>
      </c>
      <c r="D3" t="s">
        <v>15</v>
      </c>
      <c r="E3" t="s">
        <v>33</v>
      </c>
      <c r="F3">
        <v>2271</v>
      </c>
      <c r="G3" t="s">
        <v>25</v>
      </c>
      <c r="H3" t="s">
        <v>136</v>
      </c>
    </row>
    <row r="4" spans="1:8" x14ac:dyDescent="0.35">
      <c r="A4" t="s">
        <v>137</v>
      </c>
      <c r="B4" t="s">
        <v>138</v>
      </c>
      <c r="C4" t="s">
        <v>27</v>
      </c>
      <c r="D4" t="s">
        <v>15</v>
      </c>
      <c r="E4" t="s">
        <v>10</v>
      </c>
      <c r="F4">
        <v>257</v>
      </c>
      <c r="G4" t="s">
        <v>11</v>
      </c>
      <c r="H4" t="s">
        <v>139</v>
      </c>
    </row>
    <row r="5" spans="1:8" x14ac:dyDescent="0.35">
      <c r="A5" t="s">
        <v>140</v>
      </c>
      <c r="B5" t="s">
        <v>141</v>
      </c>
      <c r="C5" t="s">
        <v>20</v>
      </c>
      <c r="D5" t="s">
        <v>15</v>
      </c>
      <c r="E5" t="s">
        <v>22</v>
      </c>
      <c r="F5">
        <v>609</v>
      </c>
      <c r="G5" t="s">
        <v>25</v>
      </c>
      <c r="H5" t="s">
        <v>139</v>
      </c>
    </row>
    <row r="6" spans="1:8" x14ac:dyDescent="0.35">
      <c r="A6" t="s">
        <v>142</v>
      </c>
      <c r="B6" t="s">
        <v>143</v>
      </c>
      <c r="C6" t="s">
        <v>46</v>
      </c>
      <c r="D6" t="s">
        <v>9</v>
      </c>
      <c r="E6" t="s">
        <v>10</v>
      </c>
      <c r="F6">
        <v>460</v>
      </c>
      <c r="G6" t="s">
        <v>25</v>
      </c>
      <c r="H6" t="s">
        <v>136</v>
      </c>
    </row>
    <row r="7" spans="1:8" x14ac:dyDescent="0.35">
      <c r="A7" t="s">
        <v>144</v>
      </c>
      <c r="B7" t="s">
        <v>145</v>
      </c>
      <c r="C7" t="s">
        <v>53</v>
      </c>
      <c r="D7" t="s">
        <v>9</v>
      </c>
      <c r="E7" t="s">
        <v>16</v>
      </c>
      <c r="F7">
        <v>1936</v>
      </c>
      <c r="G7" t="s">
        <v>11</v>
      </c>
      <c r="H7" t="s">
        <v>133</v>
      </c>
    </row>
    <row r="8" spans="1:8" x14ac:dyDescent="0.35">
      <c r="A8" t="s">
        <v>146</v>
      </c>
      <c r="B8" t="s">
        <v>147</v>
      </c>
      <c r="C8" t="s">
        <v>53</v>
      </c>
      <c r="D8" t="s">
        <v>9</v>
      </c>
      <c r="E8" t="s">
        <v>16</v>
      </c>
      <c r="F8">
        <v>2444</v>
      </c>
      <c r="G8" t="s">
        <v>25</v>
      </c>
      <c r="H8" t="s">
        <v>133</v>
      </c>
    </row>
    <row r="9" spans="1:8" x14ac:dyDescent="0.35">
      <c r="A9" t="s">
        <v>148</v>
      </c>
      <c r="B9" t="s">
        <v>149</v>
      </c>
      <c r="C9" t="s">
        <v>27</v>
      </c>
      <c r="D9" t="s">
        <v>15</v>
      </c>
      <c r="E9" t="s">
        <v>22</v>
      </c>
      <c r="F9">
        <v>1695</v>
      </c>
      <c r="G9" t="s">
        <v>25</v>
      </c>
      <c r="H9" t="s">
        <v>133</v>
      </c>
    </row>
    <row r="10" spans="1:8" x14ac:dyDescent="0.35">
      <c r="A10" t="s">
        <v>150</v>
      </c>
      <c r="B10" t="s">
        <v>151</v>
      </c>
      <c r="C10" t="s">
        <v>42</v>
      </c>
      <c r="D10" t="s">
        <v>15</v>
      </c>
      <c r="E10" t="s">
        <v>22</v>
      </c>
      <c r="F10">
        <v>1760</v>
      </c>
      <c r="G10" t="s">
        <v>11</v>
      </c>
      <c r="H10" t="s">
        <v>139</v>
      </c>
    </row>
    <row r="11" spans="1:8" x14ac:dyDescent="0.35">
      <c r="A11" t="s">
        <v>152</v>
      </c>
      <c r="B11" t="s">
        <v>153</v>
      </c>
      <c r="C11" t="s">
        <v>20</v>
      </c>
      <c r="D11" t="s">
        <v>15</v>
      </c>
      <c r="E11" t="s">
        <v>33</v>
      </c>
      <c r="F11">
        <v>520</v>
      </c>
      <c r="G11" t="s">
        <v>11</v>
      </c>
      <c r="H11" t="s">
        <v>139</v>
      </c>
    </row>
    <row r="12" spans="1:8" x14ac:dyDescent="0.35">
      <c r="A12" t="s">
        <v>154</v>
      </c>
      <c r="B12" t="s">
        <v>132</v>
      </c>
      <c r="C12" t="s">
        <v>46</v>
      </c>
      <c r="D12" t="s">
        <v>9</v>
      </c>
      <c r="E12" t="s">
        <v>33</v>
      </c>
      <c r="F12">
        <v>2147</v>
      </c>
      <c r="G12" t="s">
        <v>25</v>
      </c>
      <c r="H12" t="s">
        <v>155</v>
      </c>
    </row>
    <row r="13" spans="1:8" x14ac:dyDescent="0.35">
      <c r="A13" t="s">
        <v>156</v>
      </c>
      <c r="B13" t="s">
        <v>157</v>
      </c>
      <c r="C13" t="s">
        <v>14</v>
      </c>
      <c r="D13" t="s">
        <v>15</v>
      </c>
      <c r="E13" t="s">
        <v>22</v>
      </c>
      <c r="F13">
        <v>1990</v>
      </c>
      <c r="G13" t="s">
        <v>25</v>
      </c>
      <c r="H13" t="s">
        <v>136</v>
      </c>
    </row>
    <row r="14" spans="1:8" x14ac:dyDescent="0.35">
      <c r="A14" t="s">
        <v>158</v>
      </c>
      <c r="B14" t="s">
        <v>159</v>
      </c>
      <c r="C14" t="s">
        <v>53</v>
      </c>
      <c r="D14" t="s">
        <v>9</v>
      </c>
      <c r="E14" t="s">
        <v>33</v>
      </c>
      <c r="F14">
        <v>874</v>
      </c>
      <c r="G14" t="s">
        <v>11</v>
      </c>
      <c r="H14" t="s">
        <v>139</v>
      </c>
    </row>
    <row r="15" spans="1:8" x14ac:dyDescent="0.35">
      <c r="A15" t="s">
        <v>160</v>
      </c>
      <c r="B15" t="s">
        <v>161</v>
      </c>
      <c r="C15" t="s">
        <v>46</v>
      </c>
      <c r="D15" t="s">
        <v>9</v>
      </c>
      <c r="E15" t="s">
        <v>22</v>
      </c>
      <c r="F15">
        <v>1096</v>
      </c>
      <c r="G15" t="s">
        <v>11</v>
      </c>
      <c r="H15" t="s">
        <v>133</v>
      </c>
    </row>
    <row r="16" spans="1:8" x14ac:dyDescent="0.35">
      <c r="A16" t="s">
        <v>162</v>
      </c>
      <c r="B16" t="s">
        <v>163</v>
      </c>
      <c r="C16" t="s">
        <v>27</v>
      </c>
      <c r="D16" t="s">
        <v>15</v>
      </c>
      <c r="E16" t="s">
        <v>33</v>
      </c>
      <c r="F16">
        <v>201</v>
      </c>
      <c r="G16" t="s">
        <v>11</v>
      </c>
      <c r="H16" t="s">
        <v>164</v>
      </c>
    </row>
    <row r="17" spans="1:8" x14ac:dyDescent="0.35">
      <c r="A17" t="s">
        <v>165</v>
      </c>
      <c r="B17" t="s">
        <v>166</v>
      </c>
      <c r="C17" t="s">
        <v>8</v>
      </c>
      <c r="D17" t="s">
        <v>9</v>
      </c>
      <c r="E17" t="s">
        <v>22</v>
      </c>
      <c r="F17">
        <v>225</v>
      </c>
      <c r="G17" t="s">
        <v>11</v>
      </c>
      <c r="H17" t="s">
        <v>164</v>
      </c>
    </row>
    <row r="18" spans="1:8" x14ac:dyDescent="0.35">
      <c r="A18" t="s">
        <v>167</v>
      </c>
      <c r="B18" t="s">
        <v>168</v>
      </c>
      <c r="C18" t="s">
        <v>27</v>
      </c>
      <c r="D18" t="s">
        <v>15</v>
      </c>
      <c r="E18" t="s">
        <v>10</v>
      </c>
      <c r="F18">
        <v>843</v>
      </c>
      <c r="G18" t="s">
        <v>11</v>
      </c>
      <c r="H18" t="s">
        <v>136</v>
      </c>
    </row>
    <row r="19" spans="1:8" x14ac:dyDescent="0.35">
      <c r="A19" t="s">
        <v>169</v>
      </c>
      <c r="B19" t="s">
        <v>166</v>
      </c>
      <c r="C19" t="s">
        <v>35</v>
      </c>
      <c r="D19" t="s">
        <v>15</v>
      </c>
      <c r="E19" t="s">
        <v>16</v>
      </c>
      <c r="F19">
        <v>2480</v>
      </c>
      <c r="G19" t="s">
        <v>25</v>
      </c>
      <c r="H19" t="s">
        <v>136</v>
      </c>
    </row>
    <row r="20" spans="1:8" x14ac:dyDescent="0.35">
      <c r="A20" t="s">
        <v>170</v>
      </c>
      <c r="B20" t="s">
        <v>171</v>
      </c>
      <c r="C20" t="s">
        <v>20</v>
      </c>
      <c r="D20" t="s">
        <v>15</v>
      </c>
      <c r="E20" t="s">
        <v>10</v>
      </c>
      <c r="F20">
        <v>936</v>
      </c>
      <c r="G20" t="s">
        <v>11</v>
      </c>
      <c r="H20" t="s">
        <v>133</v>
      </c>
    </row>
    <row r="21" spans="1:8" x14ac:dyDescent="0.35">
      <c r="A21" t="s">
        <v>172</v>
      </c>
      <c r="B21" t="s">
        <v>173</v>
      </c>
      <c r="C21" t="s">
        <v>35</v>
      </c>
      <c r="D21" t="s">
        <v>15</v>
      </c>
      <c r="E21" t="s">
        <v>10</v>
      </c>
      <c r="F21">
        <v>204</v>
      </c>
      <c r="G21" t="s">
        <v>11</v>
      </c>
      <c r="H21" t="s">
        <v>139</v>
      </c>
    </row>
    <row r="22" spans="1:8" x14ac:dyDescent="0.35">
      <c r="A22" t="s">
        <v>174</v>
      </c>
      <c r="B22" t="s">
        <v>175</v>
      </c>
      <c r="C22" t="s">
        <v>14</v>
      </c>
      <c r="D22" t="s">
        <v>15</v>
      </c>
      <c r="E22" t="s">
        <v>16</v>
      </c>
      <c r="F22">
        <v>383</v>
      </c>
      <c r="G22" t="s">
        <v>25</v>
      </c>
      <c r="H22" t="s">
        <v>164</v>
      </c>
    </row>
    <row r="23" spans="1:8" x14ac:dyDescent="0.35">
      <c r="A23" t="s">
        <v>176</v>
      </c>
      <c r="B23" t="s">
        <v>177</v>
      </c>
      <c r="C23" t="s">
        <v>8</v>
      </c>
      <c r="D23" t="s">
        <v>9</v>
      </c>
      <c r="E23" t="s">
        <v>16</v>
      </c>
      <c r="F23">
        <v>968</v>
      </c>
      <c r="G23" t="s">
        <v>11</v>
      </c>
      <c r="H23" t="s">
        <v>139</v>
      </c>
    </row>
    <row r="24" spans="1:8" x14ac:dyDescent="0.35">
      <c r="A24" t="s">
        <v>178</v>
      </c>
      <c r="B24" t="s">
        <v>179</v>
      </c>
      <c r="C24" t="s">
        <v>27</v>
      </c>
      <c r="D24" t="s">
        <v>15</v>
      </c>
      <c r="E24" t="s">
        <v>22</v>
      </c>
      <c r="F24">
        <v>1299</v>
      </c>
      <c r="G24" t="s">
        <v>25</v>
      </c>
      <c r="H24" t="s">
        <v>133</v>
      </c>
    </row>
    <row r="25" spans="1:8" x14ac:dyDescent="0.35">
      <c r="A25" t="s">
        <v>180</v>
      </c>
      <c r="B25" t="s">
        <v>181</v>
      </c>
      <c r="C25" t="s">
        <v>24</v>
      </c>
      <c r="D25" t="s">
        <v>9</v>
      </c>
      <c r="E25" t="s">
        <v>10</v>
      </c>
      <c r="F25">
        <v>1559</v>
      </c>
      <c r="G25" t="s">
        <v>11</v>
      </c>
      <c r="H25" t="s">
        <v>136</v>
      </c>
    </row>
    <row r="26" spans="1:8" x14ac:dyDescent="0.35">
      <c r="A26" t="s">
        <v>182</v>
      </c>
      <c r="B26" t="s">
        <v>183</v>
      </c>
      <c r="C26" t="s">
        <v>42</v>
      </c>
      <c r="D26" t="s">
        <v>15</v>
      </c>
      <c r="E26" t="s">
        <v>22</v>
      </c>
      <c r="F26">
        <v>1997</v>
      </c>
      <c r="G26" t="s">
        <v>11</v>
      </c>
      <c r="H26" t="s">
        <v>133</v>
      </c>
    </row>
    <row r="27" spans="1:8" x14ac:dyDescent="0.35">
      <c r="A27" t="s">
        <v>184</v>
      </c>
      <c r="B27" t="s">
        <v>185</v>
      </c>
      <c r="C27" t="s">
        <v>8</v>
      </c>
      <c r="D27" t="s">
        <v>9</v>
      </c>
      <c r="E27" t="s">
        <v>33</v>
      </c>
      <c r="F27">
        <v>2032</v>
      </c>
      <c r="G27" t="s">
        <v>25</v>
      </c>
      <c r="H27" t="s">
        <v>139</v>
      </c>
    </row>
    <row r="28" spans="1:8" x14ac:dyDescent="0.35">
      <c r="A28" t="s">
        <v>186</v>
      </c>
      <c r="B28" t="s">
        <v>187</v>
      </c>
      <c r="C28" t="s">
        <v>35</v>
      </c>
      <c r="D28" t="s">
        <v>15</v>
      </c>
      <c r="E28" t="s">
        <v>10</v>
      </c>
      <c r="F28">
        <v>1861</v>
      </c>
      <c r="G28" t="s">
        <v>25</v>
      </c>
      <c r="H28" t="s">
        <v>136</v>
      </c>
    </row>
    <row r="29" spans="1:8" x14ac:dyDescent="0.35">
      <c r="A29" t="s">
        <v>188</v>
      </c>
      <c r="B29" t="s">
        <v>189</v>
      </c>
      <c r="C29" t="s">
        <v>20</v>
      </c>
      <c r="D29" t="s">
        <v>15</v>
      </c>
      <c r="E29" t="s">
        <v>22</v>
      </c>
      <c r="F29">
        <v>1105</v>
      </c>
      <c r="G29" t="s">
        <v>25</v>
      </c>
      <c r="H29" t="s">
        <v>155</v>
      </c>
    </row>
    <row r="30" spans="1:8" x14ac:dyDescent="0.35">
      <c r="A30" t="s">
        <v>190</v>
      </c>
      <c r="B30" t="s">
        <v>191</v>
      </c>
      <c r="C30" t="s">
        <v>31</v>
      </c>
      <c r="D30" t="s">
        <v>15</v>
      </c>
      <c r="E30" t="s">
        <v>33</v>
      </c>
      <c r="F30">
        <v>1918</v>
      </c>
      <c r="G30" t="s">
        <v>11</v>
      </c>
      <c r="H30" t="s">
        <v>136</v>
      </c>
    </row>
    <row r="31" spans="1:8" x14ac:dyDescent="0.35">
      <c r="A31" t="s">
        <v>192</v>
      </c>
      <c r="B31" t="s">
        <v>193</v>
      </c>
      <c r="C31" t="s">
        <v>27</v>
      </c>
      <c r="D31" t="s">
        <v>15</v>
      </c>
      <c r="E31" t="s">
        <v>10</v>
      </c>
      <c r="F31">
        <v>1811</v>
      </c>
      <c r="G31" t="s">
        <v>25</v>
      </c>
      <c r="H31" t="s">
        <v>136</v>
      </c>
    </row>
    <row r="32" spans="1:8" x14ac:dyDescent="0.35">
      <c r="A32" t="s">
        <v>194</v>
      </c>
      <c r="B32" t="s">
        <v>195</v>
      </c>
      <c r="C32" t="s">
        <v>31</v>
      </c>
      <c r="D32" t="s">
        <v>15</v>
      </c>
      <c r="E32" t="s">
        <v>10</v>
      </c>
      <c r="F32">
        <v>988</v>
      </c>
      <c r="G32" t="s">
        <v>25</v>
      </c>
      <c r="H32" t="s">
        <v>139</v>
      </c>
    </row>
    <row r="33" spans="1:8" x14ac:dyDescent="0.35">
      <c r="A33" t="s">
        <v>196</v>
      </c>
      <c r="B33" t="s">
        <v>197</v>
      </c>
      <c r="C33" t="s">
        <v>42</v>
      </c>
      <c r="D33" t="s">
        <v>15</v>
      </c>
      <c r="E33" t="s">
        <v>33</v>
      </c>
      <c r="F33">
        <v>1380</v>
      </c>
      <c r="G33" t="s">
        <v>25</v>
      </c>
      <c r="H33" t="s">
        <v>155</v>
      </c>
    </row>
    <row r="34" spans="1:8" x14ac:dyDescent="0.35">
      <c r="A34" t="s">
        <v>198</v>
      </c>
      <c r="B34" t="s">
        <v>199</v>
      </c>
      <c r="C34" t="s">
        <v>53</v>
      </c>
      <c r="D34" t="s">
        <v>9</v>
      </c>
      <c r="E34" t="s">
        <v>16</v>
      </c>
      <c r="F34">
        <v>2340</v>
      </c>
      <c r="G34" t="s">
        <v>11</v>
      </c>
      <c r="H34" t="s">
        <v>155</v>
      </c>
    </row>
    <row r="35" spans="1:8" x14ac:dyDescent="0.35">
      <c r="A35" t="s">
        <v>200</v>
      </c>
      <c r="B35" t="s">
        <v>201</v>
      </c>
      <c r="C35" t="s">
        <v>8</v>
      </c>
      <c r="D35" t="s">
        <v>9</v>
      </c>
      <c r="E35" t="s">
        <v>22</v>
      </c>
      <c r="F35">
        <v>1392</v>
      </c>
      <c r="G35" t="s">
        <v>25</v>
      </c>
      <c r="H35" t="s">
        <v>139</v>
      </c>
    </row>
    <row r="36" spans="1:8" x14ac:dyDescent="0.35">
      <c r="A36" t="s">
        <v>202</v>
      </c>
      <c r="B36" t="s">
        <v>193</v>
      </c>
      <c r="C36" t="s">
        <v>31</v>
      </c>
      <c r="D36" t="s">
        <v>15</v>
      </c>
      <c r="E36" t="s">
        <v>33</v>
      </c>
      <c r="F36">
        <v>1952</v>
      </c>
      <c r="G36" t="s">
        <v>25</v>
      </c>
      <c r="H36" t="s">
        <v>136</v>
      </c>
    </row>
    <row r="37" spans="1:8" x14ac:dyDescent="0.35">
      <c r="A37" t="s">
        <v>203</v>
      </c>
      <c r="B37" t="s">
        <v>179</v>
      </c>
      <c r="C37" t="s">
        <v>46</v>
      </c>
      <c r="D37" t="s">
        <v>9</v>
      </c>
      <c r="E37" t="s">
        <v>33</v>
      </c>
      <c r="F37">
        <v>253</v>
      </c>
      <c r="G37" t="s">
        <v>25</v>
      </c>
      <c r="H37" t="s">
        <v>155</v>
      </c>
    </row>
    <row r="38" spans="1:8" x14ac:dyDescent="0.35">
      <c r="A38" t="s">
        <v>204</v>
      </c>
      <c r="B38" t="s">
        <v>161</v>
      </c>
      <c r="C38" t="s">
        <v>42</v>
      </c>
      <c r="D38" t="s">
        <v>15</v>
      </c>
      <c r="E38" t="s">
        <v>10</v>
      </c>
      <c r="F38">
        <v>1670</v>
      </c>
      <c r="G38" t="s">
        <v>25</v>
      </c>
      <c r="H38" t="s">
        <v>133</v>
      </c>
    </row>
    <row r="39" spans="1:8" x14ac:dyDescent="0.35">
      <c r="A39" t="s">
        <v>205</v>
      </c>
      <c r="B39" t="s">
        <v>149</v>
      </c>
      <c r="C39" t="s">
        <v>14</v>
      </c>
      <c r="D39" t="s">
        <v>15</v>
      </c>
      <c r="E39" t="s">
        <v>16</v>
      </c>
      <c r="F39">
        <v>1482</v>
      </c>
      <c r="G39" t="s">
        <v>25</v>
      </c>
      <c r="H39" t="s">
        <v>139</v>
      </c>
    </row>
    <row r="40" spans="1:8" x14ac:dyDescent="0.35">
      <c r="A40" t="s">
        <v>206</v>
      </c>
      <c r="B40" t="s">
        <v>207</v>
      </c>
      <c r="C40" t="s">
        <v>8</v>
      </c>
      <c r="D40" t="s">
        <v>9</v>
      </c>
      <c r="E40" t="s">
        <v>33</v>
      </c>
      <c r="F40">
        <v>1726</v>
      </c>
      <c r="G40" t="s">
        <v>25</v>
      </c>
      <c r="H40" t="s">
        <v>155</v>
      </c>
    </row>
    <row r="41" spans="1:8" x14ac:dyDescent="0.35">
      <c r="A41" t="s">
        <v>208</v>
      </c>
      <c r="B41" t="s">
        <v>209</v>
      </c>
      <c r="C41" t="s">
        <v>27</v>
      </c>
      <c r="D41" t="s">
        <v>15</v>
      </c>
      <c r="E41" t="s">
        <v>33</v>
      </c>
      <c r="F41">
        <v>1636</v>
      </c>
      <c r="G41" t="s">
        <v>25</v>
      </c>
      <c r="H41" t="s">
        <v>136</v>
      </c>
    </row>
    <row r="42" spans="1:8" x14ac:dyDescent="0.35">
      <c r="A42" t="s">
        <v>210</v>
      </c>
      <c r="B42" t="s">
        <v>143</v>
      </c>
      <c r="C42" t="s">
        <v>35</v>
      </c>
      <c r="D42" t="s">
        <v>15</v>
      </c>
      <c r="E42" t="s">
        <v>10</v>
      </c>
      <c r="F42">
        <v>2427</v>
      </c>
      <c r="G42" t="s">
        <v>25</v>
      </c>
      <c r="H42" t="s">
        <v>155</v>
      </c>
    </row>
    <row r="43" spans="1:8" x14ac:dyDescent="0.35">
      <c r="A43" t="s">
        <v>211</v>
      </c>
      <c r="B43" t="s">
        <v>212</v>
      </c>
      <c r="C43" t="s">
        <v>31</v>
      </c>
      <c r="D43" t="s">
        <v>15</v>
      </c>
      <c r="E43" t="s">
        <v>16</v>
      </c>
      <c r="F43">
        <v>881</v>
      </c>
      <c r="G43" t="s">
        <v>11</v>
      </c>
      <c r="H43" t="s">
        <v>133</v>
      </c>
    </row>
    <row r="44" spans="1:8" x14ac:dyDescent="0.35">
      <c r="A44" t="s">
        <v>213</v>
      </c>
      <c r="B44" t="s">
        <v>214</v>
      </c>
      <c r="C44" t="s">
        <v>27</v>
      </c>
      <c r="D44" t="s">
        <v>15</v>
      </c>
      <c r="E44" t="s">
        <v>22</v>
      </c>
      <c r="F44">
        <v>964</v>
      </c>
      <c r="G44" t="s">
        <v>25</v>
      </c>
      <c r="H44" t="s">
        <v>136</v>
      </c>
    </row>
    <row r="45" spans="1:8" x14ac:dyDescent="0.35">
      <c r="A45" t="s">
        <v>215</v>
      </c>
      <c r="B45" t="s">
        <v>216</v>
      </c>
      <c r="C45" t="s">
        <v>27</v>
      </c>
      <c r="D45" t="s">
        <v>15</v>
      </c>
      <c r="E45" t="s">
        <v>22</v>
      </c>
      <c r="F45">
        <v>1611</v>
      </c>
      <c r="G45" t="s">
        <v>11</v>
      </c>
      <c r="H45" t="s">
        <v>155</v>
      </c>
    </row>
    <row r="46" spans="1:8" x14ac:dyDescent="0.35">
      <c r="A46" t="s">
        <v>217</v>
      </c>
      <c r="B46" t="s">
        <v>218</v>
      </c>
      <c r="C46" t="s">
        <v>46</v>
      </c>
      <c r="D46" t="s">
        <v>9</v>
      </c>
      <c r="E46" t="s">
        <v>16</v>
      </c>
      <c r="F46">
        <v>1542</v>
      </c>
      <c r="G46" t="s">
        <v>11</v>
      </c>
      <c r="H46" t="s">
        <v>155</v>
      </c>
    </row>
    <row r="47" spans="1:8" x14ac:dyDescent="0.35">
      <c r="A47" t="s">
        <v>219</v>
      </c>
      <c r="B47" t="s">
        <v>159</v>
      </c>
      <c r="C47" t="s">
        <v>46</v>
      </c>
      <c r="D47" t="s">
        <v>9</v>
      </c>
      <c r="E47" t="s">
        <v>16</v>
      </c>
      <c r="F47">
        <v>497</v>
      </c>
      <c r="G47" t="s">
        <v>11</v>
      </c>
      <c r="H47" t="s">
        <v>139</v>
      </c>
    </row>
    <row r="48" spans="1:8" x14ac:dyDescent="0.35">
      <c r="A48" t="s">
        <v>220</v>
      </c>
      <c r="B48" t="s">
        <v>221</v>
      </c>
      <c r="C48" t="s">
        <v>24</v>
      </c>
      <c r="D48" t="s">
        <v>9</v>
      </c>
      <c r="E48" t="s">
        <v>22</v>
      </c>
      <c r="F48">
        <v>1923</v>
      </c>
      <c r="G48" t="s">
        <v>25</v>
      </c>
      <c r="H48" t="s">
        <v>136</v>
      </c>
    </row>
    <row r="49" spans="1:8" x14ac:dyDescent="0.35">
      <c r="A49" t="s">
        <v>222</v>
      </c>
      <c r="B49" t="s">
        <v>223</v>
      </c>
      <c r="C49" t="s">
        <v>8</v>
      </c>
      <c r="D49" t="s">
        <v>9</v>
      </c>
      <c r="E49" t="s">
        <v>10</v>
      </c>
      <c r="F49">
        <v>2393</v>
      </c>
      <c r="G49" t="s">
        <v>11</v>
      </c>
      <c r="H49" t="s">
        <v>133</v>
      </c>
    </row>
    <row r="50" spans="1:8" x14ac:dyDescent="0.35">
      <c r="A50" t="s">
        <v>224</v>
      </c>
      <c r="B50" t="s">
        <v>225</v>
      </c>
      <c r="C50" t="s">
        <v>14</v>
      </c>
      <c r="D50" t="s">
        <v>15</v>
      </c>
      <c r="E50" t="s">
        <v>16</v>
      </c>
      <c r="F50">
        <v>732</v>
      </c>
      <c r="G50" t="s">
        <v>25</v>
      </c>
      <c r="H50" t="s">
        <v>136</v>
      </c>
    </row>
    <row r="51" spans="1:8" x14ac:dyDescent="0.35">
      <c r="A51" t="s">
        <v>226</v>
      </c>
      <c r="B51" t="s">
        <v>161</v>
      </c>
      <c r="C51" t="s">
        <v>53</v>
      </c>
      <c r="D51" t="s">
        <v>9</v>
      </c>
      <c r="E51" t="s">
        <v>10</v>
      </c>
      <c r="F51">
        <v>1734</v>
      </c>
      <c r="G51" t="s">
        <v>11</v>
      </c>
      <c r="H51" t="s">
        <v>139</v>
      </c>
    </row>
    <row r="52" spans="1:8" x14ac:dyDescent="0.35">
      <c r="A52" t="s">
        <v>227</v>
      </c>
      <c r="B52" t="s">
        <v>228</v>
      </c>
      <c r="C52" t="s">
        <v>46</v>
      </c>
      <c r="D52" t="s">
        <v>9</v>
      </c>
      <c r="E52" t="s">
        <v>16</v>
      </c>
      <c r="F52">
        <v>1936</v>
      </c>
      <c r="G52" t="s">
        <v>11</v>
      </c>
      <c r="H52" t="s">
        <v>133</v>
      </c>
    </row>
    <row r="53" spans="1:8" x14ac:dyDescent="0.35">
      <c r="A53" t="s">
        <v>229</v>
      </c>
      <c r="B53" t="s">
        <v>230</v>
      </c>
      <c r="C53" t="s">
        <v>46</v>
      </c>
      <c r="D53" t="s">
        <v>9</v>
      </c>
      <c r="E53" t="s">
        <v>10</v>
      </c>
      <c r="F53">
        <v>1424</v>
      </c>
      <c r="G53" t="s">
        <v>11</v>
      </c>
      <c r="H53" t="s">
        <v>155</v>
      </c>
    </row>
    <row r="54" spans="1:8" x14ac:dyDescent="0.35">
      <c r="A54" t="s">
        <v>231</v>
      </c>
      <c r="B54" t="s">
        <v>232</v>
      </c>
      <c r="C54" t="s">
        <v>14</v>
      </c>
      <c r="D54" t="s">
        <v>15</v>
      </c>
      <c r="E54" t="s">
        <v>16</v>
      </c>
      <c r="F54">
        <v>2196</v>
      </c>
      <c r="G54" t="s">
        <v>11</v>
      </c>
      <c r="H54" t="s">
        <v>155</v>
      </c>
    </row>
    <row r="55" spans="1:8" x14ac:dyDescent="0.35">
      <c r="A55" t="s">
        <v>233</v>
      </c>
      <c r="B55" t="s">
        <v>234</v>
      </c>
      <c r="C55" t="s">
        <v>35</v>
      </c>
      <c r="D55" t="s">
        <v>15</v>
      </c>
      <c r="E55" t="s">
        <v>16</v>
      </c>
      <c r="F55">
        <v>1892</v>
      </c>
      <c r="G55" t="s">
        <v>25</v>
      </c>
      <c r="H55" t="s">
        <v>139</v>
      </c>
    </row>
    <row r="56" spans="1:8" x14ac:dyDescent="0.35">
      <c r="A56" t="s">
        <v>235</v>
      </c>
      <c r="B56" t="s">
        <v>223</v>
      </c>
      <c r="C56" t="s">
        <v>46</v>
      </c>
      <c r="D56" t="s">
        <v>9</v>
      </c>
      <c r="E56" t="s">
        <v>22</v>
      </c>
      <c r="F56">
        <v>2317</v>
      </c>
      <c r="G56" t="s">
        <v>25</v>
      </c>
      <c r="H56" t="s">
        <v>164</v>
      </c>
    </row>
    <row r="57" spans="1:8" x14ac:dyDescent="0.35">
      <c r="A57" t="s">
        <v>236</v>
      </c>
      <c r="B57" t="s">
        <v>223</v>
      </c>
      <c r="C57" t="s">
        <v>42</v>
      </c>
      <c r="D57" t="s">
        <v>15</v>
      </c>
      <c r="E57" t="s">
        <v>22</v>
      </c>
      <c r="F57">
        <v>2183</v>
      </c>
      <c r="G57" t="s">
        <v>11</v>
      </c>
      <c r="H57" t="s">
        <v>155</v>
      </c>
    </row>
    <row r="58" spans="1:8" x14ac:dyDescent="0.35">
      <c r="A58" t="s">
        <v>237</v>
      </c>
      <c r="B58" t="s">
        <v>199</v>
      </c>
      <c r="C58" t="s">
        <v>27</v>
      </c>
      <c r="D58" t="s">
        <v>15</v>
      </c>
      <c r="E58" t="s">
        <v>22</v>
      </c>
      <c r="F58">
        <v>2292</v>
      </c>
      <c r="G58" t="s">
        <v>11</v>
      </c>
      <c r="H58" t="s">
        <v>164</v>
      </c>
    </row>
    <row r="59" spans="1:8" x14ac:dyDescent="0.35">
      <c r="A59" t="s">
        <v>238</v>
      </c>
      <c r="B59" t="s">
        <v>149</v>
      </c>
      <c r="C59" t="s">
        <v>42</v>
      </c>
      <c r="D59" t="s">
        <v>15</v>
      </c>
      <c r="E59" t="s">
        <v>10</v>
      </c>
      <c r="F59">
        <v>300</v>
      </c>
      <c r="G59" t="s">
        <v>25</v>
      </c>
      <c r="H59" t="s">
        <v>155</v>
      </c>
    </row>
    <row r="60" spans="1:8" x14ac:dyDescent="0.35">
      <c r="A60" t="s">
        <v>239</v>
      </c>
      <c r="B60" t="s">
        <v>143</v>
      </c>
      <c r="C60" t="s">
        <v>24</v>
      </c>
      <c r="D60" t="s">
        <v>9</v>
      </c>
      <c r="E60" t="s">
        <v>22</v>
      </c>
      <c r="F60">
        <v>1077</v>
      </c>
      <c r="G60" t="s">
        <v>11</v>
      </c>
      <c r="H60" t="s">
        <v>133</v>
      </c>
    </row>
    <row r="61" spans="1:8" x14ac:dyDescent="0.35">
      <c r="A61" t="s">
        <v>240</v>
      </c>
      <c r="B61" t="s">
        <v>241</v>
      </c>
      <c r="C61" t="s">
        <v>8</v>
      </c>
      <c r="D61" t="s">
        <v>9</v>
      </c>
      <c r="E61" t="s">
        <v>16</v>
      </c>
      <c r="F61">
        <v>582</v>
      </c>
      <c r="G61" t="s">
        <v>11</v>
      </c>
      <c r="H61" t="s">
        <v>136</v>
      </c>
    </row>
    <row r="62" spans="1:8" x14ac:dyDescent="0.35">
      <c r="A62" t="s">
        <v>242</v>
      </c>
      <c r="B62" t="s">
        <v>243</v>
      </c>
      <c r="C62" t="s">
        <v>31</v>
      </c>
      <c r="D62" t="s">
        <v>15</v>
      </c>
      <c r="E62" t="s">
        <v>33</v>
      </c>
      <c r="F62">
        <v>208</v>
      </c>
      <c r="G62" t="s">
        <v>11</v>
      </c>
      <c r="H62" t="s">
        <v>133</v>
      </c>
    </row>
    <row r="63" spans="1:8" x14ac:dyDescent="0.35">
      <c r="A63" t="s">
        <v>244</v>
      </c>
      <c r="B63" t="s">
        <v>143</v>
      </c>
      <c r="C63" t="s">
        <v>27</v>
      </c>
      <c r="D63" t="s">
        <v>15</v>
      </c>
      <c r="E63" t="s">
        <v>16</v>
      </c>
      <c r="F63">
        <v>532</v>
      </c>
      <c r="G63" t="s">
        <v>25</v>
      </c>
      <c r="H63" t="s">
        <v>164</v>
      </c>
    </row>
    <row r="64" spans="1:8" x14ac:dyDescent="0.35">
      <c r="A64" t="s">
        <v>245</v>
      </c>
      <c r="B64" t="s">
        <v>191</v>
      </c>
      <c r="C64" t="s">
        <v>24</v>
      </c>
      <c r="D64" t="s">
        <v>9</v>
      </c>
      <c r="E64" t="s">
        <v>16</v>
      </c>
      <c r="F64">
        <v>2158</v>
      </c>
      <c r="G64" t="s">
        <v>25</v>
      </c>
      <c r="H64" t="s">
        <v>139</v>
      </c>
    </row>
    <row r="65" spans="1:8" x14ac:dyDescent="0.35">
      <c r="A65" t="s">
        <v>246</v>
      </c>
      <c r="B65" t="s">
        <v>247</v>
      </c>
      <c r="C65" t="s">
        <v>24</v>
      </c>
      <c r="D65" t="s">
        <v>9</v>
      </c>
      <c r="E65" t="s">
        <v>10</v>
      </c>
      <c r="F65">
        <v>2329</v>
      </c>
      <c r="G65" t="s">
        <v>11</v>
      </c>
      <c r="H65" t="s">
        <v>133</v>
      </c>
    </row>
    <row r="66" spans="1:8" x14ac:dyDescent="0.35">
      <c r="A66" t="s">
        <v>248</v>
      </c>
      <c r="B66" t="s">
        <v>243</v>
      </c>
      <c r="C66" t="s">
        <v>20</v>
      </c>
      <c r="D66" t="s">
        <v>15</v>
      </c>
      <c r="E66" t="s">
        <v>33</v>
      </c>
      <c r="F66">
        <v>1484</v>
      </c>
      <c r="G66" t="s">
        <v>11</v>
      </c>
      <c r="H66" t="s">
        <v>133</v>
      </c>
    </row>
    <row r="67" spans="1:8" x14ac:dyDescent="0.35">
      <c r="A67" t="s">
        <v>249</v>
      </c>
      <c r="B67" t="s">
        <v>250</v>
      </c>
      <c r="C67" t="s">
        <v>35</v>
      </c>
      <c r="D67" t="s">
        <v>15</v>
      </c>
      <c r="E67" t="s">
        <v>16</v>
      </c>
      <c r="F67">
        <v>1727</v>
      </c>
      <c r="G67" t="s">
        <v>25</v>
      </c>
      <c r="H67" t="s">
        <v>133</v>
      </c>
    </row>
    <row r="68" spans="1:8" x14ac:dyDescent="0.35">
      <c r="A68" t="s">
        <v>251</v>
      </c>
      <c r="B68" t="s">
        <v>221</v>
      </c>
      <c r="C68" t="s">
        <v>46</v>
      </c>
      <c r="D68" t="s">
        <v>9</v>
      </c>
      <c r="E68" t="s">
        <v>10</v>
      </c>
      <c r="F68">
        <v>934</v>
      </c>
      <c r="G68" t="s">
        <v>25</v>
      </c>
      <c r="H68" t="s">
        <v>133</v>
      </c>
    </row>
    <row r="69" spans="1:8" x14ac:dyDescent="0.35">
      <c r="A69" t="s">
        <v>252</v>
      </c>
      <c r="B69" t="s">
        <v>253</v>
      </c>
      <c r="C69" t="s">
        <v>14</v>
      </c>
      <c r="D69" t="s">
        <v>15</v>
      </c>
      <c r="E69" t="s">
        <v>33</v>
      </c>
      <c r="F69">
        <v>1752</v>
      </c>
      <c r="G69" t="s">
        <v>25</v>
      </c>
      <c r="H69" t="s">
        <v>164</v>
      </c>
    </row>
    <row r="70" spans="1:8" x14ac:dyDescent="0.35">
      <c r="A70" t="s">
        <v>254</v>
      </c>
      <c r="B70" t="s">
        <v>255</v>
      </c>
      <c r="C70" t="s">
        <v>35</v>
      </c>
      <c r="D70" t="s">
        <v>15</v>
      </c>
      <c r="E70" t="s">
        <v>22</v>
      </c>
      <c r="F70">
        <v>2067</v>
      </c>
      <c r="G70" t="s">
        <v>25</v>
      </c>
      <c r="H70" t="s">
        <v>139</v>
      </c>
    </row>
    <row r="71" spans="1:8" x14ac:dyDescent="0.35">
      <c r="A71" t="s">
        <v>256</v>
      </c>
      <c r="B71" t="s">
        <v>183</v>
      </c>
      <c r="C71" t="s">
        <v>46</v>
      </c>
      <c r="D71" t="s">
        <v>9</v>
      </c>
      <c r="E71" t="s">
        <v>10</v>
      </c>
      <c r="F71">
        <v>1605</v>
      </c>
      <c r="G71" t="s">
        <v>11</v>
      </c>
      <c r="H71" t="s">
        <v>139</v>
      </c>
    </row>
    <row r="72" spans="1:8" x14ac:dyDescent="0.35">
      <c r="A72" t="s">
        <v>257</v>
      </c>
      <c r="B72" t="s">
        <v>247</v>
      </c>
      <c r="C72" t="s">
        <v>31</v>
      </c>
      <c r="D72" t="s">
        <v>15</v>
      </c>
      <c r="E72" t="s">
        <v>16</v>
      </c>
      <c r="F72">
        <v>2248</v>
      </c>
      <c r="G72" t="s">
        <v>25</v>
      </c>
      <c r="H72" t="s">
        <v>139</v>
      </c>
    </row>
    <row r="73" spans="1:8" x14ac:dyDescent="0.35">
      <c r="A73" t="s">
        <v>258</v>
      </c>
      <c r="B73" t="s">
        <v>159</v>
      </c>
      <c r="C73" t="s">
        <v>42</v>
      </c>
      <c r="D73" t="s">
        <v>15</v>
      </c>
      <c r="E73" t="s">
        <v>16</v>
      </c>
      <c r="F73">
        <v>2079</v>
      </c>
      <c r="G73" t="s">
        <v>11</v>
      </c>
      <c r="H73" t="s">
        <v>155</v>
      </c>
    </row>
    <row r="74" spans="1:8" x14ac:dyDescent="0.35">
      <c r="A74" t="s">
        <v>259</v>
      </c>
      <c r="B74" t="s">
        <v>260</v>
      </c>
      <c r="C74" t="s">
        <v>35</v>
      </c>
      <c r="D74" t="s">
        <v>15</v>
      </c>
      <c r="E74" t="s">
        <v>16</v>
      </c>
      <c r="F74">
        <v>1095</v>
      </c>
      <c r="G74" t="s">
        <v>11</v>
      </c>
      <c r="H74" t="s">
        <v>155</v>
      </c>
    </row>
    <row r="75" spans="1:8" x14ac:dyDescent="0.35">
      <c r="A75" t="s">
        <v>261</v>
      </c>
      <c r="B75" t="s">
        <v>262</v>
      </c>
      <c r="C75" t="s">
        <v>46</v>
      </c>
      <c r="D75" t="s">
        <v>9</v>
      </c>
      <c r="E75" t="s">
        <v>33</v>
      </c>
      <c r="F75">
        <v>1588</v>
      </c>
      <c r="G75" t="s">
        <v>25</v>
      </c>
      <c r="H75" t="s">
        <v>164</v>
      </c>
    </row>
    <row r="76" spans="1:8" x14ac:dyDescent="0.35">
      <c r="A76" t="s">
        <v>263</v>
      </c>
      <c r="B76" t="s">
        <v>223</v>
      </c>
      <c r="C76" t="s">
        <v>53</v>
      </c>
      <c r="D76" t="s">
        <v>9</v>
      </c>
      <c r="E76" t="s">
        <v>16</v>
      </c>
      <c r="F76">
        <v>728</v>
      </c>
      <c r="G76" t="s">
        <v>25</v>
      </c>
      <c r="H76" t="s">
        <v>155</v>
      </c>
    </row>
    <row r="77" spans="1:8" x14ac:dyDescent="0.35">
      <c r="A77" t="s">
        <v>264</v>
      </c>
      <c r="B77" t="s">
        <v>265</v>
      </c>
      <c r="C77" t="s">
        <v>46</v>
      </c>
      <c r="D77" t="s">
        <v>9</v>
      </c>
      <c r="E77" t="s">
        <v>33</v>
      </c>
      <c r="F77">
        <v>731</v>
      </c>
      <c r="G77" t="s">
        <v>11</v>
      </c>
      <c r="H77" t="s">
        <v>155</v>
      </c>
    </row>
    <row r="78" spans="1:8" x14ac:dyDescent="0.35">
      <c r="A78" t="s">
        <v>266</v>
      </c>
      <c r="B78" t="s">
        <v>232</v>
      </c>
      <c r="C78" t="s">
        <v>27</v>
      </c>
      <c r="D78" t="s">
        <v>15</v>
      </c>
      <c r="E78" t="s">
        <v>16</v>
      </c>
      <c r="F78">
        <v>2250</v>
      </c>
      <c r="G78" t="s">
        <v>25</v>
      </c>
      <c r="H78" t="s">
        <v>139</v>
      </c>
    </row>
    <row r="79" spans="1:8" x14ac:dyDescent="0.35">
      <c r="A79" t="s">
        <v>267</v>
      </c>
      <c r="B79" t="s">
        <v>241</v>
      </c>
      <c r="C79" t="s">
        <v>14</v>
      </c>
      <c r="D79" t="s">
        <v>15</v>
      </c>
      <c r="E79" t="s">
        <v>22</v>
      </c>
      <c r="F79">
        <v>2148</v>
      </c>
      <c r="G79" t="s">
        <v>11</v>
      </c>
      <c r="H79" t="s">
        <v>136</v>
      </c>
    </row>
    <row r="80" spans="1:8" x14ac:dyDescent="0.35">
      <c r="A80" t="s">
        <v>268</v>
      </c>
      <c r="B80" t="s">
        <v>269</v>
      </c>
      <c r="C80" t="s">
        <v>27</v>
      </c>
      <c r="D80" t="s">
        <v>15</v>
      </c>
      <c r="E80" t="s">
        <v>16</v>
      </c>
      <c r="F80">
        <v>334</v>
      </c>
      <c r="G80" t="s">
        <v>11</v>
      </c>
      <c r="H80" t="s">
        <v>136</v>
      </c>
    </row>
    <row r="81" spans="1:8" x14ac:dyDescent="0.35">
      <c r="A81" t="s">
        <v>270</v>
      </c>
      <c r="B81" t="s">
        <v>181</v>
      </c>
      <c r="C81" t="s">
        <v>42</v>
      </c>
      <c r="D81" t="s">
        <v>15</v>
      </c>
      <c r="E81" t="s">
        <v>33</v>
      </c>
      <c r="F81">
        <v>1241</v>
      </c>
      <c r="G81" t="s">
        <v>11</v>
      </c>
      <c r="H81" t="s">
        <v>155</v>
      </c>
    </row>
    <row r="82" spans="1:8" x14ac:dyDescent="0.35">
      <c r="A82" t="s">
        <v>271</v>
      </c>
      <c r="B82" t="s">
        <v>272</v>
      </c>
      <c r="C82" t="s">
        <v>8</v>
      </c>
      <c r="D82" t="s">
        <v>9</v>
      </c>
      <c r="E82" t="s">
        <v>16</v>
      </c>
      <c r="F82">
        <v>1247</v>
      </c>
      <c r="G82" t="s">
        <v>25</v>
      </c>
      <c r="H82" t="s">
        <v>139</v>
      </c>
    </row>
    <row r="83" spans="1:8" x14ac:dyDescent="0.35">
      <c r="A83" t="s">
        <v>273</v>
      </c>
      <c r="B83" t="s">
        <v>232</v>
      </c>
      <c r="C83" t="s">
        <v>8</v>
      </c>
      <c r="D83" t="s">
        <v>9</v>
      </c>
      <c r="E83" t="s">
        <v>10</v>
      </c>
      <c r="F83">
        <v>1881</v>
      </c>
      <c r="G83" t="s">
        <v>11</v>
      </c>
      <c r="H83" t="s">
        <v>139</v>
      </c>
    </row>
    <row r="84" spans="1:8" x14ac:dyDescent="0.35">
      <c r="A84" t="s">
        <v>274</v>
      </c>
      <c r="B84" t="s">
        <v>250</v>
      </c>
      <c r="C84" t="s">
        <v>8</v>
      </c>
      <c r="D84" t="s">
        <v>9</v>
      </c>
      <c r="E84" t="s">
        <v>22</v>
      </c>
      <c r="F84">
        <v>661</v>
      </c>
      <c r="G84" t="s">
        <v>25</v>
      </c>
      <c r="H84" t="s">
        <v>133</v>
      </c>
    </row>
    <row r="85" spans="1:8" x14ac:dyDescent="0.35">
      <c r="A85" t="s">
        <v>275</v>
      </c>
      <c r="B85" t="s">
        <v>276</v>
      </c>
      <c r="C85" t="s">
        <v>53</v>
      </c>
      <c r="D85" t="s">
        <v>9</v>
      </c>
      <c r="E85" t="s">
        <v>22</v>
      </c>
      <c r="F85">
        <v>398</v>
      </c>
      <c r="G85" t="s">
        <v>25</v>
      </c>
      <c r="H85" t="s">
        <v>164</v>
      </c>
    </row>
    <row r="86" spans="1:8" x14ac:dyDescent="0.35">
      <c r="A86" t="s">
        <v>277</v>
      </c>
      <c r="B86" t="s">
        <v>173</v>
      </c>
      <c r="C86" t="s">
        <v>42</v>
      </c>
      <c r="D86" t="s">
        <v>15</v>
      </c>
      <c r="E86" t="s">
        <v>16</v>
      </c>
      <c r="F86">
        <v>1692</v>
      </c>
      <c r="G86" t="s">
        <v>25</v>
      </c>
      <c r="H86" t="s">
        <v>139</v>
      </c>
    </row>
    <row r="87" spans="1:8" x14ac:dyDescent="0.35">
      <c r="A87" t="s">
        <v>278</v>
      </c>
      <c r="B87" t="s">
        <v>223</v>
      </c>
      <c r="C87" t="s">
        <v>20</v>
      </c>
      <c r="D87" t="s">
        <v>15</v>
      </c>
      <c r="E87" t="s">
        <v>22</v>
      </c>
      <c r="F87">
        <v>2255</v>
      </c>
      <c r="G87" t="s">
        <v>11</v>
      </c>
      <c r="H87" t="s">
        <v>139</v>
      </c>
    </row>
    <row r="88" spans="1:8" x14ac:dyDescent="0.35">
      <c r="A88" t="s">
        <v>279</v>
      </c>
      <c r="B88" t="s">
        <v>135</v>
      </c>
      <c r="C88" t="s">
        <v>31</v>
      </c>
      <c r="D88" t="s">
        <v>15</v>
      </c>
      <c r="E88" t="s">
        <v>16</v>
      </c>
      <c r="F88">
        <v>2305</v>
      </c>
      <c r="G88" t="s">
        <v>25</v>
      </c>
      <c r="H88" t="s">
        <v>164</v>
      </c>
    </row>
    <row r="89" spans="1:8" x14ac:dyDescent="0.35">
      <c r="A89" t="s">
        <v>280</v>
      </c>
      <c r="B89" t="s">
        <v>223</v>
      </c>
      <c r="C89" t="s">
        <v>53</v>
      </c>
      <c r="D89" t="s">
        <v>9</v>
      </c>
      <c r="E89" t="s">
        <v>22</v>
      </c>
      <c r="F89">
        <v>2189</v>
      </c>
      <c r="G89" t="s">
        <v>11</v>
      </c>
      <c r="H89" t="s">
        <v>133</v>
      </c>
    </row>
    <row r="90" spans="1:8" x14ac:dyDescent="0.35">
      <c r="A90" t="s">
        <v>281</v>
      </c>
      <c r="B90" t="s">
        <v>132</v>
      </c>
      <c r="C90" t="s">
        <v>35</v>
      </c>
      <c r="D90" t="s">
        <v>15</v>
      </c>
      <c r="E90" t="s">
        <v>16</v>
      </c>
      <c r="F90">
        <v>231</v>
      </c>
      <c r="G90" t="s">
        <v>11</v>
      </c>
      <c r="H90" t="s">
        <v>136</v>
      </c>
    </row>
    <row r="91" spans="1:8" x14ac:dyDescent="0.35">
      <c r="A91" t="s">
        <v>282</v>
      </c>
      <c r="B91" t="s">
        <v>209</v>
      </c>
      <c r="C91" t="s">
        <v>14</v>
      </c>
      <c r="D91" t="s">
        <v>15</v>
      </c>
      <c r="E91" t="s">
        <v>22</v>
      </c>
      <c r="F91">
        <v>1500</v>
      </c>
      <c r="G91" t="s">
        <v>25</v>
      </c>
      <c r="H91" t="s">
        <v>136</v>
      </c>
    </row>
    <row r="92" spans="1:8" x14ac:dyDescent="0.35">
      <c r="A92" t="s">
        <v>283</v>
      </c>
      <c r="B92" t="s">
        <v>143</v>
      </c>
      <c r="C92" t="s">
        <v>46</v>
      </c>
      <c r="D92" t="s">
        <v>9</v>
      </c>
      <c r="E92" t="s">
        <v>10</v>
      </c>
      <c r="F92">
        <v>1064</v>
      </c>
      <c r="G92" t="s">
        <v>25</v>
      </c>
      <c r="H92" t="s">
        <v>155</v>
      </c>
    </row>
    <row r="93" spans="1:8" x14ac:dyDescent="0.35">
      <c r="A93" t="s">
        <v>284</v>
      </c>
      <c r="B93" t="s">
        <v>161</v>
      </c>
      <c r="C93" t="s">
        <v>14</v>
      </c>
      <c r="D93" t="s">
        <v>15</v>
      </c>
      <c r="E93" t="s">
        <v>10</v>
      </c>
      <c r="F93">
        <v>1534</v>
      </c>
      <c r="G93" t="s">
        <v>25</v>
      </c>
      <c r="H93" t="s">
        <v>133</v>
      </c>
    </row>
    <row r="94" spans="1:8" x14ac:dyDescent="0.35">
      <c r="A94" t="s">
        <v>285</v>
      </c>
      <c r="B94" t="s">
        <v>243</v>
      </c>
      <c r="C94" t="s">
        <v>31</v>
      </c>
      <c r="D94" t="s">
        <v>15</v>
      </c>
      <c r="E94" t="s">
        <v>10</v>
      </c>
      <c r="F94">
        <v>898</v>
      </c>
      <c r="G94" t="s">
        <v>25</v>
      </c>
      <c r="H94" t="s">
        <v>136</v>
      </c>
    </row>
    <row r="95" spans="1:8" x14ac:dyDescent="0.35">
      <c r="A95" t="s">
        <v>286</v>
      </c>
      <c r="B95" t="s">
        <v>195</v>
      </c>
      <c r="C95" t="s">
        <v>24</v>
      </c>
      <c r="D95" t="s">
        <v>9</v>
      </c>
      <c r="E95" t="s">
        <v>33</v>
      </c>
      <c r="F95">
        <v>1833</v>
      </c>
      <c r="G95" t="s">
        <v>25</v>
      </c>
      <c r="H95" t="s">
        <v>133</v>
      </c>
    </row>
    <row r="96" spans="1:8" x14ac:dyDescent="0.35">
      <c r="A96" t="s">
        <v>287</v>
      </c>
      <c r="B96" t="s">
        <v>141</v>
      </c>
      <c r="C96" t="s">
        <v>35</v>
      </c>
      <c r="D96" t="s">
        <v>15</v>
      </c>
      <c r="E96" t="s">
        <v>22</v>
      </c>
      <c r="F96">
        <v>2161</v>
      </c>
      <c r="G96" t="s">
        <v>11</v>
      </c>
      <c r="H96" t="s">
        <v>133</v>
      </c>
    </row>
    <row r="97" spans="1:8" x14ac:dyDescent="0.35">
      <c r="A97" t="s">
        <v>288</v>
      </c>
      <c r="B97" t="s">
        <v>289</v>
      </c>
      <c r="C97" t="s">
        <v>14</v>
      </c>
      <c r="D97" t="s">
        <v>15</v>
      </c>
      <c r="E97" t="s">
        <v>33</v>
      </c>
      <c r="F97">
        <v>1683</v>
      </c>
      <c r="G97" t="s">
        <v>11</v>
      </c>
      <c r="H97" t="s">
        <v>139</v>
      </c>
    </row>
    <row r="98" spans="1:8" x14ac:dyDescent="0.35">
      <c r="A98" t="s">
        <v>290</v>
      </c>
      <c r="B98" t="s">
        <v>291</v>
      </c>
      <c r="C98" t="s">
        <v>46</v>
      </c>
      <c r="D98" t="s">
        <v>9</v>
      </c>
      <c r="E98" t="s">
        <v>10</v>
      </c>
      <c r="F98">
        <v>491</v>
      </c>
      <c r="G98" t="s">
        <v>25</v>
      </c>
      <c r="H98" t="s">
        <v>136</v>
      </c>
    </row>
    <row r="99" spans="1:8" x14ac:dyDescent="0.35">
      <c r="A99" t="s">
        <v>292</v>
      </c>
      <c r="B99" t="s">
        <v>143</v>
      </c>
      <c r="C99" t="s">
        <v>27</v>
      </c>
      <c r="D99" t="s">
        <v>15</v>
      </c>
      <c r="E99" t="s">
        <v>33</v>
      </c>
      <c r="F99">
        <v>2476</v>
      </c>
      <c r="G99" t="s">
        <v>11</v>
      </c>
      <c r="H99" t="s">
        <v>136</v>
      </c>
    </row>
    <row r="100" spans="1:8" x14ac:dyDescent="0.35">
      <c r="A100" t="s">
        <v>293</v>
      </c>
      <c r="B100" t="s">
        <v>253</v>
      </c>
      <c r="C100" t="s">
        <v>46</v>
      </c>
      <c r="D100" t="s">
        <v>9</v>
      </c>
      <c r="E100" t="s">
        <v>16</v>
      </c>
      <c r="F100">
        <v>886</v>
      </c>
      <c r="G100" t="s">
        <v>25</v>
      </c>
      <c r="H100" t="s">
        <v>155</v>
      </c>
    </row>
    <row r="101" spans="1:8" x14ac:dyDescent="0.35">
      <c r="A101" t="s">
        <v>294</v>
      </c>
      <c r="B101" t="s">
        <v>195</v>
      </c>
      <c r="C101" t="s">
        <v>24</v>
      </c>
      <c r="D101" t="s">
        <v>9</v>
      </c>
      <c r="E101" t="s">
        <v>16</v>
      </c>
      <c r="F101">
        <v>643</v>
      </c>
      <c r="G101" t="s">
        <v>11</v>
      </c>
      <c r="H101" t="s">
        <v>133</v>
      </c>
    </row>
    <row r="102" spans="1:8" x14ac:dyDescent="0.35">
      <c r="A102" t="s">
        <v>295</v>
      </c>
      <c r="B102" t="s">
        <v>135</v>
      </c>
      <c r="C102" t="s">
        <v>14</v>
      </c>
      <c r="D102" t="s">
        <v>15</v>
      </c>
      <c r="E102" t="s">
        <v>22</v>
      </c>
      <c r="F102">
        <v>467</v>
      </c>
      <c r="G102" t="s">
        <v>11</v>
      </c>
      <c r="H102" t="s">
        <v>136</v>
      </c>
    </row>
    <row r="103" spans="1:8" x14ac:dyDescent="0.35">
      <c r="A103" t="s">
        <v>296</v>
      </c>
      <c r="B103" t="s">
        <v>297</v>
      </c>
      <c r="C103" t="s">
        <v>8</v>
      </c>
      <c r="D103" t="s">
        <v>9</v>
      </c>
      <c r="E103" t="s">
        <v>16</v>
      </c>
      <c r="F103">
        <v>1256</v>
      </c>
      <c r="G103" t="s">
        <v>25</v>
      </c>
      <c r="H103" t="s">
        <v>155</v>
      </c>
    </row>
    <row r="104" spans="1:8" x14ac:dyDescent="0.35">
      <c r="A104" t="s">
        <v>298</v>
      </c>
      <c r="B104" t="s">
        <v>232</v>
      </c>
      <c r="C104" t="s">
        <v>24</v>
      </c>
      <c r="D104" t="s">
        <v>9</v>
      </c>
      <c r="E104" t="s">
        <v>10</v>
      </c>
      <c r="F104">
        <v>570</v>
      </c>
      <c r="G104" t="s">
        <v>25</v>
      </c>
      <c r="H104" t="s">
        <v>164</v>
      </c>
    </row>
    <row r="105" spans="1:8" x14ac:dyDescent="0.35">
      <c r="A105" t="s">
        <v>299</v>
      </c>
      <c r="B105" t="s">
        <v>300</v>
      </c>
      <c r="C105" t="s">
        <v>24</v>
      </c>
      <c r="D105" t="s">
        <v>9</v>
      </c>
      <c r="E105" t="s">
        <v>16</v>
      </c>
      <c r="F105">
        <v>1628</v>
      </c>
      <c r="G105" t="s">
        <v>25</v>
      </c>
      <c r="H105" t="s">
        <v>136</v>
      </c>
    </row>
    <row r="106" spans="1:8" x14ac:dyDescent="0.35">
      <c r="A106" t="s">
        <v>301</v>
      </c>
      <c r="B106" t="s">
        <v>212</v>
      </c>
      <c r="C106" t="s">
        <v>20</v>
      </c>
      <c r="D106" t="s">
        <v>15</v>
      </c>
      <c r="E106" t="s">
        <v>10</v>
      </c>
      <c r="F106">
        <v>2186</v>
      </c>
      <c r="G106" t="s">
        <v>11</v>
      </c>
      <c r="H106" t="s">
        <v>133</v>
      </c>
    </row>
    <row r="107" spans="1:8" x14ac:dyDescent="0.35">
      <c r="A107" t="s">
        <v>302</v>
      </c>
      <c r="B107" t="s">
        <v>191</v>
      </c>
      <c r="C107" t="s">
        <v>53</v>
      </c>
      <c r="D107" t="s">
        <v>9</v>
      </c>
      <c r="E107" t="s">
        <v>10</v>
      </c>
      <c r="F107">
        <v>1956</v>
      </c>
      <c r="G107" t="s">
        <v>25</v>
      </c>
      <c r="H107" t="s">
        <v>136</v>
      </c>
    </row>
    <row r="108" spans="1:8" x14ac:dyDescent="0.35">
      <c r="A108" t="s">
        <v>303</v>
      </c>
      <c r="B108" t="s">
        <v>304</v>
      </c>
      <c r="C108" t="s">
        <v>20</v>
      </c>
      <c r="D108" t="s">
        <v>15</v>
      </c>
      <c r="E108" t="s">
        <v>33</v>
      </c>
      <c r="F108">
        <v>694</v>
      </c>
      <c r="G108" t="s">
        <v>11</v>
      </c>
      <c r="H108" t="s">
        <v>133</v>
      </c>
    </row>
    <row r="109" spans="1:8" x14ac:dyDescent="0.35">
      <c r="A109" t="s">
        <v>305</v>
      </c>
      <c r="B109" t="s">
        <v>306</v>
      </c>
      <c r="C109" t="s">
        <v>24</v>
      </c>
      <c r="D109" t="s">
        <v>9</v>
      </c>
      <c r="E109" t="s">
        <v>10</v>
      </c>
      <c r="F109">
        <v>1514</v>
      </c>
      <c r="G109" t="s">
        <v>11</v>
      </c>
      <c r="H109" t="s">
        <v>155</v>
      </c>
    </row>
    <row r="110" spans="1:8" x14ac:dyDescent="0.35">
      <c r="A110" t="s">
        <v>307</v>
      </c>
      <c r="B110" t="s">
        <v>262</v>
      </c>
      <c r="C110" t="s">
        <v>46</v>
      </c>
      <c r="D110" t="s">
        <v>9</v>
      </c>
      <c r="E110" t="s">
        <v>33</v>
      </c>
      <c r="F110">
        <v>1521</v>
      </c>
      <c r="G110" t="s">
        <v>25</v>
      </c>
      <c r="H110" t="s">
        <v>155</v>
      </c>
    </row>
    <row r="111" spans="1:8" x14ac:dyDescent="0.35">
      <c r="A111" t="s">
        <v>308</v>
      </c>
      <c r="B111" t="s">
        <v>223</v>
      </c>
      <c r="C111" t="s">
        <v>24</v>
      </c>
      <c r="D111" t="s">
        <v>9</v>
      </c>
      <c r="E111" t="s">
        <v>10</v>
      </c>
      <c r="F111">
        <v>1944</v>
      </c>
      <c r="G111" t="s">
        <v>25</v>
      </c>
      <c r="H111" t="s">
        <v>139</v>
      </c>
    </row>
    <row r="112" spans="1:8" x14ac:dyDescent="0.35">
      <c r="A112" t="s">
        <v>309</v>
      </c>
      <c r="B112" t="s">
        <v>310</v>
      </c>
      <c r="C112" t="s">
        <v>27</v>
      </c>
      <c r="D112" t="s">
        <v>15</v>
      </c>
      <c r="E112" t="s">
        <v>33</v>
      </c>
      <c r="F112">
        <v>299</v>
      </c>
      <c r="G112" t="s">
        <v>25</v>
      </c>
      <c r="H112" t="s">
        <v>155</v>
      </c>
    </row>
    <row r="113" spans="1:8" x14ac:dyDescent="0.35">
      <c r="A113" t="s">
        <v>311</v>
      </c>
      <c r="B113" t="s">
        <v>193</v>
      </c>
      <c r="C113" t="s">
        <v>8</v>
      </c>
      <c r="D113" t="s">
        <v>9</v>
      </c>
      <c r="E113" t="s">
        <v>10</v>
      </c>
      <c r="F113">
        <v>520</v>
      </c>
      <c r="G113" t="s">
        <v>11</v>
      </c>
      <c r="H113" t="s">
        <v>155</v>
      </c>
    </row>
    <row r="114" spans="1:8" x14ac:dyDescent="0.35">
      <c r="A114" t="s">
        <v>312</v>
      </c>
      <c r="B114" t="s">
        <v>313</v>
      </c>
      <c r="C114" t="s">
        <v>35</v>
      </c>
      <c r="D114" t="s">
        <v>15</v>
      </c>
      <c r="E114" t="s">
        <v>16</v>
      </c>
      <c r="F114">
        <v>766</v>
      </c>
      <c r="G114" t="s">
        <v>25</v>
      </c>
      <c r="H114" t="s">
        <v>164</v>
      </c>
    </row>
    <row r="115" spans="1:8" x14ac:dyDescent="0.35">
      <c r="A115" t="s">
        <v>314</v>
      </c>
      <c r="B115" t="s">
        <v>168</v>
      </c>
      <c r="C115" t="s">
        <v>27</v>
      </c>
      <c r="D115" t="s">
        <v>15</v>
      </c>
      <c r="E115" t="s">
        <v>22</v>
      </c>
      <c r="F115">
        <v>601</v>
      </c>
      <c r="G115" t="s">
        <v>11</v>
      </c>
      <c r="H115" t="s">
        <v>136</v>
      </c>
    </row>
    <row r="116" spans="1:8" x14ac:dyDescent="0.35">
      <c r="A116" t="s">
        <v>315</v>
      </c>
      <c r="B116" t="s">
        <v>316</v>
      </c>
      <c r="C116" t="s">
        <v>27</v>
      </c>
      <c r="D116" t="s">
        <v>15</v>
      </c>
      <c r="E116" t="s">
        <v>16</v>
      </c>
      <c r="F116">
        <v>2009</v>
      </c>
      <c r="G116" t="s">
        <v>25</v>
      </c>
      <c r="H116" t="s">
        <v>164</v>
      </c>
    </row>
    <row r="117" spans="1:8" x14ac:dyDescent="0.35">
      <c r="A117" t="s">
        <v>317</v>
      </c>
      <c r="B117" t="s">
        <v>225</v>
      </c>
      <c r="C117" t="s">
        <v>8</v>
      </c>
      <c r="D117" t="s">
        <v>9</v>
      </c>
      <c r="E117" t="s">
        <v>16</v>
      </c>
      <c r="F117">
        <v>2216</v>
      </c>
      <c r="G117" t="s">
        <v>11</v>
      </c>
      <c r="H117" t="s">
        <v>139</v>
      </c>
    </row>
    <row r="118" spans="1:8" x14ac:dyDescent="0.35">
      <c r="A118" t="s">
        <v>318</v>
      </c>
      <c r="B118" t="s">
        <v>185</v>
      </c>
      <c r="C118" t="s">
        <v>8</v>
      </c>
      <c r="D118" t="s">
        <v>9</v>
      </c>
      <c r="E118" t="s">
        <v>33</v>
      </c>
      <c r="F118">
        <v>2431</v>
      </c>
      <c r="G118" t="s">
        <v>11</v>
      </c>
      <c r="H118" t="s">
        <v>164</v>
      </c>
    </row>
    <row r="119" spans="1:8" x14ac:dyDescent="0.35">
      <c r="A119" t="s">
        <v>319</v>
      </c>
      <c r="B119" t="s">
        <v>260</v>
      </c>
      <c r="C119" t="s">
        <v>46</v>
      </c>
      <c r="D119" t="s">
        <v>9</v>
      </c>
      <c r="E119" t="s">
        <v>10</v>
      </c>
      <c r="F119">
        <v>2330</v>
      </c>
      <c r="G119" t="s">
        <v>25</v>
      </c>
      <c r="H119" t="s">
        <v>164</v>
      </c>
    </row>
    <row r="120" spans="1:8" x14ac:dyDescent="0.35">
      <c r="A120" t="s">
        <v>320</v>
      </c>
      <c r="B120" t="s">
        <v>197</v>
      </c>
      <c r="C120" t="s">
        <v>8</v>
      </c>
      <c r="D120" t="s">
        <v>9</v>
      </c>
      <c r="E120" t="s">
        <v>22</v>
      </c>
      <c r="F120">
        <v>2246</v>
      </c>
      <c r="G120" t="s">
        <v>11</v>
      </c>
      <c r="H120" t="s">
        <v>155</v>
      </c>
    </row>
    <row r="121" spans="1:8" x14ac:dyDescent="0.35">
      <c r="A121" t="s">
        <v>321</v>
      </c>
      <c r="B121" t="s">
        <v>291</v>
      </c>
      <c r="C121" t="s">
        <v>8</v>
      </c>
      <c r="D121" t="s">
        <v>9</v>
      </c>
      <c r="E121" t="s">
        <v>33</v>
      </c>
      <c r="F121">
        <v>1558</v>
      </c>
      <c r="G121" t="s">
        <v>11</v>
      </c>
      <c r="H121" t="s">
        <v>139</v>
      </c>
    </row>
    <row r="122" spans="1:8" x14ac:dyDescent="0.35">
      <c r="A122" t="s">
        <v>322</v>
      </c>
      <c r="B122" t="s">
        <v>323</v>
      </c>
      <c r="C122" t="s">
        <v>8</v>
      </c>
      <c r="D122" t="s">
        <v>9</v>
      </c>
      <c r="E122" t="s">
        <v>16</v>
      </c>
      <c r="F122">
        <v>1652</v>
      </c>
      <c r="G122" t="s">
        <v>25</v>
      </c>
      <c r="H122" t="s">
        <v>139</v>
      </c>
    </row>
    <row r="123" spans="1:8" x14ac:dyDescent="0.35">
      <c r="A123" t="s">
        <v>324</v>
      </c>
      <c r="B123" t="s">
        <v>168</v>
      </c>
      <c r="C123" t="s">
        <v>27</v>
      </c>
      <c r="D123" t="s">
        <v>15</v>
      </c>
      <c r="E123" t="s">
        <v>22</v>
      </c>
      <c r="F123">
        <v>1390</v>
      </c>
      <c r="G123" t="s">
        <v>25</v>
      </c>
      <c r="H123" t="s">
        <v>139</v>
      </c>
    </row>
    <row r="124" spans="1:8" x14ac:dyDescent="0.35">
      <c r="A124" t="s">
        <v>325</v>
      </c>
      <c r="B124" t="s">
        <v>326</v>
      </c>
      <c r="C124" t="s">
        <v>20</v>
      </c>
      <c r="D124" t="s">
        <v>15</v>
      </c>
      <c r="E124" t="s">
        <v>10</v>
      </c>
      <c r="F124">
        <v>2305</v>
      </c>
      <c r="G124" t="s">
        <v>11</v>
      </c>
      <c r="H124" t="s">
        <v>164</v>
      </c>
    </row>
    <row r="125" spans="1:8" x14ac:dyDescent="0.35">
      <c r="A125" t="s">
        <v>327</v>
      </c>
      <c r="B125" t="s">
        <v>189</v>
      </c>
      <c r="C125" t="s">
        <v>24</v>
      </c>
      <c r="D125" t="s">
        <v>9</v>
      </c>
      <c r="E125" t="s">
        <v>16</v>
      </c>
      <c r="F125">
        <v>845</v>
      </c>
      <c r="G125" t="s">
        <v>11</v>
      </c>
      <c r="H125" t="s">
        <v>164</v>
      </c>
    </row>
    <row r="126" spans="1:8" x14ac:dyDescent="0.35">
      <c r="A126" t="s">
        <v>328</v>
      </c>
      <c r="B126" t="s">
        <v>329</v>
      </c>
      <c r="C126" t="s">
        <v>31</v>
      </c>
      <c r="D126" t="s">
        <v>15</v>
      </c>
      <c r="E126" t="s">
        <v>22</v>
      </c>
      <c r="F126">
        <v>1319</v>
      </c>
      <c r="G126" t="s">
        <v>11</v>
      </c>
      <c r="H126" t="s">
        <v>139</v>
      </c>
    </row>
    <row r="127" spans="1:8" x14ac:dyDescent="0.35">
      <c r="A127" t="s">
        <v>330</v>
      </c>
      <c r="B127" t="s">
        <v>132</v>
      </c>
      <c r="C127" t="s">
        <v>53</v>
      </c>
      <c r="D127" t="s">
        <v>9</v>
      </c>
      <c r="E127" t="s">
        <v>22</v>
      </c>
      <c r="F127">
        <v>483</v>
      </c>
      <c r="G127" t="s">
        <v>25</v>
      </c>
      <c r="H127" t="s">
        <v>136</v>
      </c>
    </row>
    <row r="128" spans="1:8" x14ac:dyDescent="0.35">
      <c r="A128" t="s">
        <v>331</v>
      </c>
      <c r="B128" t="s">
        <v>332</v>
      </c>
      <c r="C128" t="s">
        <v>27</v>
      </c>
      <c r="D128" t="s">
        <v>15</v>
      </c>
      <c r="E128" t="s">
        <v>33</v>
      </c>
      <c r="F128">
        <v>2088</v>
      </c>
      <c r="G128" t="s">
        <v>11</v>
      </c>
      <c r="H128" t="s">
        <v>139</v>
      </c>
    </row>
    <row r="129" spans="1:8" x14ac:dyDescent="0.35">
      <c r="A129" t="s">
        <v>333</v>
      </c>
      <c r="B129" t="s">
        <v>316</v>
      </c>
      <c r="C129" t="s">
        <v>27</v>
      </c>
      <c r="D129" t="s">
        <v>15</v>
      </c>
      <c r="E129" t="s">
        <v>33</v>
      </c>
      <c r="F129">
        <v>2373</v>
      </c>
      <c r="G129" t="s">
        <v>11</v>
      </c>
      <c r="H129" t="s">
        <v>155</v>
      </c>
    </row>
    <row r="130" spans="1:8" x14ac:dyDescent="0.35">
      <c r="A130" t="s">
        <v>334</v>
      </c>
      <c r="B130" t="s">
        <v>310</v>
      </c>
      <c r="C130" t="s">
        <v>20</v>
      </c>
      <c r="D130" t="s">
        <v>15</v>
      </c>
      <c r="E130" t="s">
        <v>10</v>
      </c>
      <c r="F130">
        <v>1414</v>
      </c>
      <c r="G130" t="s">
        <v>11</v>
      </c>
      <c r="H130" t="s">
        <v>155</v>
      </c>
    </row>
    <row r="131" spans="1:8" x14ac:dyDescent="0.35">
      <c r="A131" t="s">
        <v>335</v>
      </c>
      <c r="B131" t="s">
        <v>336</v>
      </c>
      <c r="C131" t="s">
        <v>31</v>
      </c>
      <c r="D131" t="s">
        <v>15</v>
      </c>
      <c r="E131" t="s">
        <v>16</v>
      </c>
      <c r="F131">
        <v>442</v>
      </c>
      <c r="G131" t="s">
        <v>11</v>
      </c>
      <c r="H131" t="s">
        <v>139</v>
      </c>
    </row>
    <row r="132" spans="1:8" x14ac:dyDescent="0.35">
      <c r="A132" t="s">
        <v>337</v>
      </c>
      <c r="B132" t="s">
        <v>214</v>
      </c>
      <c r="C132" t="s">
        <v>20</v>
      </c>
      <c r="D132" t="s">
        <v>15</v>
      </c>
      <c r="E132" t="s">
        <v>10</v>
      </c>
      <c r="F132">
        <v>1080</v>
      </c>
      <c r="G132" t="s">
        <v>11</v>
      </c>
      <c r="H132" t="s">
        <v>133</v>
      </c>
    </row>
    <row r="133" spans="1:8" x14ac:dyDescent="0.35">
      <c r="A133" t="s">
        <v>338</v>
      </c>
      <c r="B133" t="s">
        <v>323</v>
      </c>
      <c r="C133" t="s">
        <v>8</v>
      </c>
      <c r="D133" t="s">
        <v>9</v>
      </c>
      <c r="E133" t="s">
        <v>16</v>
      </c>
      <c r="F133">
        <v>2260</v>
      </c>
      <c r="G133" t="s">
        <v>25</v>
      </c>
      <c r="H133" t="s">
        <v>133</v>
      </c>
    </row>
    <row r="134" spans="1:8" x14ac:dyDescent="0.35">
      <c r="A134" t="s">
        <v>339</v>
      </c>
      <c r="B134" t="s">
        <v>191</v>
      </c>
      <c r="C134" t="s">
        <v>8</v>
      </c>
      <c r="D134" t="s">
        <v>9</v>
      </c>
      <c r="E134" t="s">
        <v>33</v>
      </c>
      <c r="F134">
        <v>294</v>
      </c>
      <c r="G134" t="s">
        <v>25</v>
      </c>
      <c r="H134" t="s">
        <v>164</v>
      </c>
    </row>
    <row r="135" spans="1:8" x14ac:dyDescent="0.35">
      <c r="A135" t="s">
        <v>340</v>
      </c>
      <c r="B135" t="s">
        <v>151</v>
      </c>
      <c r="C135" t="s">
        <v>8</v>
      </c>
      <c r="D135" t="s">
        <v>9</v>
      </c>
      <c r="E135" t="s">
        <v>10</v>
      </c>
      <c r="F135">
        <v>1971</v>
      </c>
      <c r="G135" t="s">
        <v>11</v>
      </c>
      <c r="H135" t="s">
        <v>139</v>
      </c>
    </row>
    <row r="136" spans="1:8" x14ac:dyDescent="0.35">
      <c r="A136" t="s">
        <v>341</v>
      </c>
      <c r="B136" t="s">
        <v>329</v>
      </c>
      <c r="C136" t="s">
        <v>24</v>
      </c>
      <c r="D136" t="s">
        <v>9</v>
      </c>
      <c r="E136" t="s">
        <v>33</v>
      </c>
      <c r="F136">
        <v>964</v>
      </c>
      <c r="G136" t="s">
        <v>11</v>
      </c>
      <c r="H136" t="s">
        <v>136</v>
      </c>
    </row>
    <row r="137" spans="1:8" x14ac:dyDescent="0.35">
      <c r="A137" t="s">
        <v>342</v>
      </c>
      <c r="B137" t="s">
        <v>201</v>
      </c>
      <c r="C137" t="s">
        <v>27</v>
      </c>
      <c r="D137" t="s">
        <v>15</v>
      </c>
      <c r="E137" t="s">
        <v>10</v>
      </c>
      <c r="F137">
        <v>404</v>
      </c>
      <c r="G137" t="s">
        <v>11</v>
      </c>
      <c r="H137" t="s">
        <v>136</v>
      </c>
    </row>
    <row r="138" spans="1:8" x14ac:dyDescent="0.35">
      <c r="A138" t="s">
        <v>343</v>
      </c>
      <c r="B138" t="s">
        <v>138</v>
      </c>
      <c r="C138" t="s">
        <v>35</v>
      </c>
      <c r="D138" t="s">
        <v>15</v>
      </c>
      <c r="E138" t="s">
        <v>16</v>
      </c>
      <c r="F138">
        <v>758</v>
      </c>
      <c r="G138" t="s">
        <v>25</v>
      </c>
      <c r="H138" t="s">
        <v>155</v>
      </c>
    </row>
    <row r="139" spans="1:8" x14ac:dyDescent="0.35">
      <c r="A139" t="s">
        <v>344</v>
      </c>
      <c r="B139" t="s">
        <v>201</v>
      </c>
      <c r="C139" t="s">
        <v>53</v>
      </c>
      <c r="D139" t="s">
        <v>9</v>
      </c>
      <c r="E139" t="s">
        <v>16</v>
      </c>
      <c r="F139">
        <v>1774</v>
      </c>
      <c r="G139" t="s">
        <v>11</v>
      </c>
      <c r="H139" t="s">
        <v>164</v>
      </c>
    </row>
    <row r="140" spans="1:8" x14ac:dyDescent="0.35">
      <c r="A140" t="s">
        <v>345</v>
      </c>
      <c r="B140" t="s">
        <v>300</v>
      </c>
      <c r="C140" t="s">
        <v>31</v>
      </c>
      <c r="D140" t="s">
        <v>15</v>
      </c>
      <c r="E140" t="s">
        <v>33</v>
      </c>
      <c r="F140">
        <v>1652</v>
      </c>
      <c r="G140" t="s">
        <v>11</v>
      </c>
      <c r="H140" t="s">
        <v>136</v>
      </c>
    </row>
    <row r="141" spans="1:8" x14ac:dyDescent="0.35">
      <c r="A141" t="s">
        <v>346</v>
      </c>
      <c r="B141" t="s">
        <v>347</v>
      </c>
      <c r="C141" t="s">
        <v>42</v>
      </c>
      <c r="D141" t="s">
        <v>15</v>
      </c>
      <c r="E141" t="s">
        <v>33</v>
      </c>
      <c r="F141">
        <v>413</v>
      </c>
      <c r="G141" t="s">
        <v>11</v>
      </c>
      <c r="H141" t="s">
        <v>133</v>
      </c>
    </row>
    <row r="142" spans="1:8" x14ac:dyDescent="0.35">
      <c r="A142" t="s">
        <v>348</v>
      </c>
      <c r="B142" t="s">
        <v>336</v>
      </c>
      <c r="C142" t="s">
        <v>46</v>
      </c>
      <c r="D142" t="s">
        <v>9</v>
      </c>
      <c r="E142" t="s">
        <v>16</v>
      </c>
      <c r="F142">
        <v>1813</v>
      </c>
      <c r="G142" t="s">
        <v>11</v>
      </c>
      <c r="H142" t="s">
        <v>133</v>
      </c>
    </row>
    <row r="143" spans="1:8" x14ac:dyDescent="0.35">
      <c r="A143" t="s">
        <v>349</v>
      </c>
      <c r="B143" t="s">
        <v>199</v>
      </c>
      <c r="C143" t="s">
        <v>8</v>
      </c>
      <c r="D143" t="s">
        <v>9</v>
      </c>
      <c r="E143" t="s">
        <v>33</v>
      </c>
      <c r="F143">
        <v>2216</v>
      </c>
      <c r="G143" t="s">
        <v>11</v>
      </c>
      <c r="H143" t="s">
        <v>164</v>
      </c>
    </row>
    <row r="144" spans="1:8" x14ac:dyDescent="0.35">
      <c r="A144" t="s">
        <v>350</v>
      </c>
      <c r="B144" t="s">
        <v>161</v>
      </c>
      <c r="C144" t="s">
        <v>46</v>
      </c>
      <c r="D144" t="s">
        <v>9</v>
      </c>
      <c r="E144" t="s">
        <v>10</v>
      </c>
      <c r="F144">
        <v>2299</v>
      </c>
      <c r="G144" t="s">
        <v>11</v>
      </c>
      <c r="H144" t="s">
        <v>164</v>
      </c>
    </row>
    <row r="145" spans="1:8" x14ac:dyDescent="0.35">
      <c r="A145" t="s">
        <v>351</v>
      </c>
      <c r="B145" t="s">
        <v>323</v>
      </c>
      <c r="C145" t="s">
        <v>20</v>
      </c>
      <c r="D145" t="s">
        <v>15</v>
      </c>
      <c r="E145" t="s">
        <v>16</v>
      </c>
      <c r="F145">
        <v>1682</v>
      </c>
      <c r="G145" t="s">
        <v>25</v>
      </c>
      <c r="H145" t="s">
        <v>136</v>
      </c>
    </row>
    <row r="146" spans="1:8" x14ac:dyDescent="0.35">
      <c r="A146" t="s">
        <v>352</v>
      </c>
      <c r="B146" t="s">
        <v>163</v>
      </c>
      <c r="C146" t="s">
        <v>46</v>
      </c>
      <c r="D146" t="s">
        <v>9</v>
      </c>
      <c r="E146" t="s">
        <v>10</v>
      </c>
      <c r="F146">
        <v>725</v>
      </c>
      <c r="G146" t="s">
        <v>25</v>
      </c>
      <c r="H146" t="s">
        <v>133</v>
      </c>
    </row>
    <row r="147" spans="1:8" x14ac:dyDescent="0.35">
      <c r="A147" t="s">
        <v>353</v>
      </c>
      <c r="B147" t="s">
        <v>214</v>
      </c>
      <c r="C147" t="s">
        <v>27</v>
      </c>
      <c r="D147" t="s">
        <v>15</v>
      </c>
      <c r="E147" t="s">
        <v>22</v>
      </c>
      <c r="F147">
        <v>613</v>
      </c>
      <c r="G147" t="s">
        <v>11</v>
      </c>
      <c r="H147" t="s">
        <v>133</v>
      </c>
    </row>
    <row r="148" spans="1:8" x14ac:dyDescent="0.35">
      <c r="A148" t="s">
        <v>354</v>
      </c>
      <c r="B148" t="s">
        <v>173</v>
      </c>
      <c r="C148" t="s">
        <v>53</v>
      </c>
      <c r="D148" t="s">
        <v>9</v>
      </c>
      <c r="E148" t="s">
        <v>33</v>
      </c>
      <c r="F148">
        <v>1931</v>
      </c>
      <c r="G148" t="s">
        <v>11</v>
      </c>
      <c r="H148" t="s">
        <v>133</v>
      </c>
    </row>
    <row r="149" spans="1:8" x14ac:dyDescent="0.35">
      <c r="A149" t="s">
        <v>355</v>
      </c>
      <c r="B149" t="s">
        <v>147</v>
      </c>
      <c r="C149" t="s">
        <v>27</v>
      </c>
      <c r="D149" t="s">
        <v>15</v>
      </c>
      <c r="E149" t="s">
        <v>22</v>
      </c>
      <c r="F149">
        <v>1948</v>
      </c>
      <c r="G149" t="s">
        <v>11</v>
      </c>
      <c r="H149" t="s">
        <v>136</v>
      </c>
    </row>
    <row r="150" spans="1:8" x14ac:dyDescent="0.35">
      <c r="A150" t="s">
        <v>356</v>
      </c>
      <c r="B150" t="s">
        <v>357</v>
      </c>
      <c r="C150" t="s">
        <v>24</v>
      </c>
      <c r="D150" t="s">
        <v>9</v>
      </c>
      <c r="E150" t="s">
        <v>16</v>
      </c>
      <c r="F150">
        <v>2407</v>
      </c>
      <c r="G150" t="s">
        <v>25</v>
      </c>
      <c r="H150" t="s">
        <v>155</v>
      </c>
    </row>
    <row r="151" spans="1:8" x14ac:dyDescent="0.35">
      <c r="A151" t="s">
        <v>358</v>
      </c>
      <c r="B151" t="s">
        <v>197</v>
      </c>
      <c r="C151" t="s">
        <v>24</v>
      </c>
      <c r="D151" t="s">
        <v>9</v>
      </c>
      <c r="E151" t="s">
        <v>10</v>
      </c>
      <c r="F151">
        <v>1446</v>
      </c>
      <c r="G151" t="s">
        <v>11</v>
      </c>
      <c r="H151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selection activeCell="C8" sqref="C8"/>
    </sheetView>
  </sheetViews>
  <sheetFormatPr defaultRowHeight="14.5" x14ac:dyDescent="0.35"/>
  <sheetData>
    <row r="1" spans="1:4" x14ac:dyDescent="0.35">
      <c r="A1" t="s">
        <v>359</v>
      </c>
      <c r="B1" t="s">
        <v>360</v>
      </c>
      <c r="C1" t="s">
        <v>361</v>
      </c>
      <c r="D1" t="s">
        <v>362</v>
      </c>
    </row>
    <row r="2" spans="1:4" x14ac:dyDescent="0.35">
      <c r="A2">
        <v>1</v>
      </c>
      <c r="B2" t="s">
        <v>363</v>
      </c>
      <c r="C2" t="str">
        <f ca="1">COUNTIF(C:C, "Electronics")</f>
        <v/>
      </c>
    </row>
    <row r="3" spans="1:4" x14ac:dyDescent="0.35">
      <c r="A3">
        <v>2</v>
      </c>
      <c r="B3" t="s">
        <v>364</v>
      </c>
      <c r="C3">
        <f>COUNTIF(D:D, "North")</f>
        <v>0</v>
      </c>
    </row>
    <row r="4" spans="1:4" x14ac:dyDescent="0.35">
      <c r="A4">
        <v>3</v>
      </c>
      <c r="B4" t="s">
        <v>365</v>
      </c>
      <c r="C4" t="str">
        <f ca="1">COUNTIFS(C:C, "Electronics", D:D, "South")</f>
        <v/>
      </c>
    </row>
    <row r="5" spans="1:4" x14ac:dyDescent="0.35">
      <c r="A5">
        <v>4</v>
      </c>
      <c r="B5" t="s">
        <v>366</v>
      </c>
      <c r="C5">
        <f>SUMIF(C:C, "Furniture", E:E)</f>
        <v>0</v>
      </c>
    </row>
    <row r="6" spans="1:4" x14ac:dyDescent="0.35">
      <c r="A6">
        <v>5</v>
      </c>
      <c r="B6" t="s">
        <v>367</v>
      </c>
      <c r="C6">
        <f ca="1">SUMIFS(E:E, F:F, "VIP", D:D, "West")</f>
        <v>0</v>
      </c>
    </row>
    <row r="7" spans="1:4" x14ac:dyDescent="0.35">
      <c r="A7">
        <v>6</v>
      </c>
      <c r="B7" t="s">
        <v>368</v>
      </c>
    </row>
    <row r="8" spans="1:4" x14ac:dyDescent="0.35">
      <c r="A8">
        <v>7</v>
      </c>
      <c r="B8" t="s">
        <v>369</v>
      </c>
    </row>
    <row r="9" spans="1:4" x14ac:dyDescent="0.35">
      <c r="A9">
        <v>8</v>
      </c>
      <c r="B9" t="s">
        <v>370</v>
      </c>
      <c r="C9">
        <f>COUNTIFS(E:E, "&gt;1000", F:F, "VIP")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Regional Sales Data</vt:lpstr>
      <vt:lpstr>TechMart Q1 Sales</vt:lpstr>
      <vt:lpstr>Practice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kamil khan</cp:lastModifiedBy>
  <dcterms:created xsi:type="dcterms:W3CDTF">2026-02-14T10:03:51Z</dcterms:created>
  <dcterms:modified xsi:type="dcterms:W3CDTF">2026-02-17T10:45:10Z</dcterms:modified>
</cp:coreProperties>
</file>